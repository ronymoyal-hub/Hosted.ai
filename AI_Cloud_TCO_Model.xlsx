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TCO_BuildUp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Returns" sheetId="7" state="visible" r:id="rId9"/>
    <sheet name="Hosted_ai_RO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Source</author>
  </authors>
  <commentList>
    <comment ref="C7" authorId="0">
      <text>
        <r>
          <rPr>
            <sz val="10"/>
            <rFont val="Arial"/>
            <family val="2"/>
          </rPr>
          <t xml:space="preserve">Fully-loaded 8-GPU HGX H100 system incl. NVLink fabric, networking, storage, integration; ~$33k/GPU. Market research synthesis, 2026 (getdeploying.com, mercatus-ai.com, cloudzero.com H100 pricing surveys).</t>
        </r>
      </text>
    </comment>
    <comment ref="C8" authorId="0">
      <text>
        <r>
          <rPr>
            <sz val="10"/>
            <rFont val="Arial"/>
            <family val="2"/>
          </rPr>
          <t xml:space="preserve">H100 SXM GPU TDP ~700W; ~1,300W all-in incl. host CPU/DRAM/NIC/storage share.</t>
        </r>
      </text>
    </comment>
    <comment ref="C12" authorId="0">
      <text>
        <r>
          <rPr>
            <sz val="10"/>
            <rFont val="Arial"/>
            <family val="2"/>
          </rPr>
          <t xml:space="preserve">North American primary-market colo average for 250-500kW deals was ~$196/kW-mo in H2 2025 (CBRE); large multi-MW GPU cluster deals typically clear somewhat below the small-block retail rate.</t>
        </r>
      </text>
    </comment>
    <comment ref="C17" authorId="0">
      <text>
        <r>
          <rPr>
            <sz val="10"/>
            <rFont val="Arial"/>
            <family val="2"/>
          </rPr>
          <t xml:space="preserve">Neoclouds typically finance 50-80% of GPU capex with debt collateralized against contracted cash flows (e.g. CoreWeave DDTL structures).</t>
        </r>
      </text>
    </comment>
    <comment ref="C18" authorId="0">
      <text>
        <r>
          <rPr>
            <sz val="10"/>
            <rFont val="Arial"/>
            <family val="2"/>
          </rPr>
          <t xml:space="preserve">CoreWeave's investment-grade GPU-backed DDTL 4.0 priced at SOFR+2.25%; blended neocloud debt stacks run ~7-10% all-in.</t>
        </r>
      </text>
    </comment>
    <comment ref="C22" authorId="0">
      <text>
        <r>
          <rPr>
            <sz val="10"/>
            <rFont val="Arial"/>
            <family val="2"/>
          </rPr>
          <t xml:space="preserve">Hyperscalers/neoclouds typically book 4-6yr GPU server depreciation. Bear case (M. Burry, Nov-2025) argues economic life is closer to 2-3yrs — stress test by lowering this input.</t>
        </r>
      </text>
    </comment>
    <comment ref="C26" authorId="0">
      <text>
        <r>
          <rPr>
            <sz val="10"/>
            <rFont val="Arial"/>
            <family val="2"/>
          </rPr>
          <t xml:space="preserve">2026 market range for H100: hyperscalers $2-11/hr, specialized neoclouds $1.50-2.50/hr, CoreWeave on-demand ~$6.16/GPU-hr normalized from 8-GPU HGX node pricing. $2.50 reflects a competitive neocloud on-demand rate.</t>
        </r>
      </text>
    </comment>
    <comment ref="C29" authorId="0">
      <text>
        <r>
          <rPr>
            <sz val="10"/>
            <rFont val="Arial"/>
            <family val="2"/>
          </rPr>
          <t xml:space="preserve">GPU $/hr pricing has historically declined as newer accelerators launch and supply catches up with demand.</t>
        </r>
      </text>
    </comment>
    <comment ref="C67" authorId="0">
      <text>
        <r>
          <rPr>
            <sz val="10"/>
            <rFont val="Arial"/>
            <family val="2"/>
          </rPr>
          <t xml:space="preserve">H100=80GB, H200=141GB, B200=180GB, GB200 NVL72=188GB. Used to size the Hosted.ai VRAM-based license fee.</t>
        </r>
      </text>
    </comment>
    <comment ref="C68" authorId="0">
      <text>
        <r>
          <rPr>
            <sz val="10"/>
            <rFont val="Arial"/>
            <family val="2"/>
          </rPr>
          <t xml:space="preserve">Hosted.ai's multi-tenant pooling lets you sell more vGPU-hours than physical GPU-hours exist (2x-10x per hosted.ai/neoclouds; 3x matches internal CSP reference modeling).</t>
        </r>
      </text>
    </comment>
    <comment ref="C69" authorId="0">
      <text>
        <r>
          <rPr>
            <sz val="10"/>
            <rFont val="Arial"/>
            <family val="2"/>
          </rPr>
          <t xml:space="preserve">Managed multi-tenant service commands a premium over raw bare-metal market pricing.</t>
        </r>
      </text>
    </comment>
    <comment ref="C70" authorId="0">
      <text>
        <r>
          <rPr>
            <sz val="10"/>
            <rFont val="Arial"/>
            <family val="2"/>
          </rPr>
          <t xml:space="preserve">hosted.ai/pricing: VRAM managed rate, $0.0005/GB-h.</t>
        </r>
      </text>
    </comment>
    <comment ref="C71" authorId="0">
      <text>
        <r>
          <rPr>
            <sz val="10"/>
            <rFont val="Arial"/>
            <family val="2"/>
          </rPr>
          <t xml:space="preserve">hosted.ai/pricing: VRAM consumed rate, $0.0030/GB-h.</t>
        </r>
      </text>
    </comment>
    <comment ref="C72" authorId="0">
      <text>
        <r>
          <rPr>
            <sz val="10"/>
            <rFont val="Arial"/>
            <family val="2"/>
          </rPr>
          <t xml:space="preserve">hosted.ai/pricing: stated minimum $750/month.</t>
        </r>
      </text>
    </comment>
  </commentList>
</comments>
</file>

<file path=xl/sharedStrings.xml><?xml version="1.0" encoding="utf-8"?>
<sst xmlns="http://schemas.openxmlformats.org/spreadsheetml/2006/main" count="222" uniqueCount="173">
  <si>
    <t xml:space="preserve">AI Cloud TCO &amp; Returns Model</t>
  </si>
  <si>
    <t xml:space="preserve">Independent build for illustrative/planning use for the benefit of Hosted.ai customers.</t>
  </si>
  <si>
    <t xml:space="preserve">What this workbook contains:</t>
  </si>
  <si>
    <t xml:space="preserve">1. Assumptions — every input driving the model, organized by topic. Blue = input you can change.</t>
  </si>
  <si>
    <t xml:space="preserve">2. TCO Build-Up — the $/GPU-hr cost of ownership, split into capex recovery, power/colocation, maintenance, insurance.</t>
  </si>
  <si>
    <t xml:space="preserve">3. Income Statement — 5-year P&amp;L (revenue through net income).</t>
  </si>
  <si>
    <t xml:space="preserve">4. Balance Sheet — 5-year (+ Year 0) balance sheet including a built-in balance check.</t>
  </si>
  <si>
    <t xml:space="preserve">5. Cash Flow — 5-year cash flow statement (operating / investing / financing).</t>
  </si>
  <si>
    <t xml:space="preserve">6. Returns — unlevered project and levered equity cash flows, IRR, NPV, and residual value.</t>
  </si>
  <si>
    <t xml:space="preserve">7. Hosted.ai ROI — always-on Without vs. With Hosted.ai comparison: overcommit-driven revenue uplift, the VRAM-based license fee, and the resulting IRR/NPV delta.</t>
  </si>
  <si>
    <t xml:space="preserve">Methodology notes:</t>
  </si>
  <si>
    <t xml:space="preserve">- TCO/hr = capex annualized via a capital-recovery factor at the project WACC, plus power/colocation, maintenance, and insurance, all divided by annual GPU-hours delivered at the assumed utilization rate.</t>
  </si>
  <si>
    <t xml:space="preserve">- Revenue = GPU count x 8,760 hours x utilization x rental price ($/GPU-hr), with price declining annually.</t>
  </si>
  <si>
    <t xml:space="preserve">- Depreciation is straight-line to salvage value over the stated useful life.</t>
  </si>
  <si>
    <t xml:space="preserve">- Debt amortizes in equal annual principal installments over the debt term.</t>
  </si>
  <si>
    <t xml:space="preserve">- Project FCF = EBIT x (1-tax) + D&amp;A - capex. Equity FCF = Net Income + D&amp;A - debt principal repaid.</t>
  </si>
  <si>
    <t xml:space="preserve">- A residual/salvage value is added to the final projection year for both project and equity cash flows.</t>
  </si>
  <si>
    <t xml:space="preserve">- This build uses a fixed 5-year explicit forecast; extend columns manually for a longer horizon.</t>
  </si>
  <si>
    <t xml:space="preserve">Assumptions</t>
  </si>
  <si>
    <t xml:space="preserve">Blue = hardcoded input. Black = calculated. Edit blue cells to run scenarios.</t>
  </si>
  <si>
    <t xml:space="preserve">1. GPU &amp; CLUSTER</t>
  </si>
  <si>
    <t xml:space="preserve">GPU / system type</t>
  </si>
  <si>
    <t xml:space="preserve">H100</t>
  </si>
  <si>
    <t xml:space="preserve">Number of GPUs</t>
  </si>
  <si>
    <t xml:space="preserve">All-in capex per GPU ($)</t>
  </si>
  <si>
    <t xml:space="preserve">IT power draw per GPU (W, all-in)</t>
  </si>
  <si>
    <t xml:space="preserve">2. POWER &amp; FACILITY COST</t>
  </si>
  <si>
    <t xml:space="preserve">Power mode (1=Colocation, 0=Owned facility)</t>
  </si>
  <si>
    <t xml:space="preserve">Colocation rate ($/kW-month, all-in)</t>
  </si>
  <si>
    <t xml:space="preserve">Electricity rate ($/kWh, owned facility)</t>
  </si>
  <si>
    <t xml:space="preserve">Facility PUE (owned facility)</t>
  </si>
  <si>
    <t xml:space="preserve">3. FINANCING</t>
  </si>
  <si>
    <t xml:space="preserve">Debt % of capex</t>
  </si>
  <si>
    <t xml:space="preserve">All-in debt interest rate</t>
  </si>
  <si>
    <t xml:space="preserve">Debt term (years)</t>
  </si>
  <si>
    <t xml:space="preserve">4. DEPRECIATION &amp; USEFUL LIFE</t>
  </si>
  <si>
    <t xml:space="preserve">Accounting/economic useful life (years)</t>
  </si>
  <si>
    <t xml:space="preserve">Residual / salvage value (% of capex)</t>
  </si>
  <si>
    <t xml:space="preserve">5. REVENUE &amp; PRICING</t>
  </si>
  <si>
    <t xml:space="preserve">Rental price, Year 1 ($/GPU-hr)</t>
  </si>
  <si>
    <t xml:space="preserve">Steady-state utilization</t>
  </si>
  <si>
    <t xml:space="preserve">Year-1 ramp (% of steady-state utilization)</t>
  </si>
  <si>
    <t xml:space="preserve">Annual rental price decline</t>
  </si>
  <si>
    <t xml:space="preserve">6. OPEX &amp; TAX</t>
  </si>
  <si>
    <t xml:space="preserve">Maintenance / support (% of capex, per yr)</t>
  </si>
  <si>
    <t xml:space="preserve">Insurance &amp; other (% of capex, per yr)</t>
  </si>
  <si>
    <t xml:space="preserve">SG&amp;A (% of revenue)</t>
  </si>
  <si>
    <t xml:space="preserve">Effective tax rate</t>
  </si>
  <si>
    <t xml:space="preserve">7. HORIZON &amp; DISCOUNT RATES</t>
  </si>
  <si>
    <t xml:space="preserve">Analysis horizon (years, fixed build)</t>
  </si>
  <si>
    <t xml:space="preserve">WACC / project discount rate</t>
  </si>
  <si>
    <t xml:space="preserve">Cost of equity / equity discount rate</t>
  </si>
  <si>
    <t xml:space="preserve">DERIVED (calculated — do not overwrite)</t>
  </si>
  <si>
    <t xml:space="preserve">Total capex ($)</t>
  </si>
  <si>
    <t xml:space="preserve">Debt amount ($)</t>
  </si>
  <si>
    <t xml:space="preserve">Equity amount ($)</t>
  </si>
  <si>
    <t xml:space="preserve">Total IT load (kW)</t>
  </si>
  <si>
    <t xml:space="preserve">Annual power/facility cost ($)</t>
  </si>
  <si>
    <t xml:space="preserve">Capital recovery factor (CRF)</t>
  </si>
  <si>
    <t xml:space="preserve">Annual capex charge — capital recovery ($)</t>
  </si>
  <si>
    <t xml:space="preserve">Annual maintenance ($)</t>
  </si>
  <si>
    <t xml:space="preserve">Annual insurance ($)</t>
  </si>
  <si>
    <t xml:space="preserve">Annual GPU-hours at utilization</t>
  </si>
  <si>
    <t xml:space="preserve">Straight-line depreciation ($/yr)</t>
  </si>
  <si>
    <t xml:space="preserve">Debt principal repayment ($/yr)</t>
  </si>
  <si>
    <t xml:space="preserve">REFERENCE — GPU PRESET LIBRARY (for context; not linked into calc)</t>
  </si>
  <si>
    <t xml:space="preserve">GPU / System</t>
  </si>
  <si>
    <t xml:space="preserve">Capex/GPU ($)</t>
  </si>
  <si>
    <t xml:space="preserve">IT Power/GPU (W)</t>
  </si>
  <si>
    <t xml:space="preserve">Illustrative rental price ($/GPU-hr)</t>
  </si>
  <si>
    <t xml:space="preserve">NVIDIA H100 (HGX 8-GPU)</t>
  </si>
  <si>
    <t xml:space="preserve">NVIDIA H200 (HGX 8-GPU)</t>
  </si>
  <si>
    <t xml:space="preserve">NVIDIA B200 (air-cooled HGX)</t>
  </si>
  <si>
    <t xml:space="preserve">NVIDIA GB200 NVL72 (rack-scale)</t>
  </si>
  <si>
    <t xml:space="preserve">Sources: 8-GPU HGX H100 systems ~$250k-$320k (2026 OEM survey); GB200 NVL72 rack ~$3.0-3.4M compute + ~$3.9M all-in / 72 GPUs; B200 discrete GPU $45-55k; GB200 rack power 132kW/72 GPUs (NVIDIA, HPE, Spheron Network specs, 2026).</t>
  </si>
  <si>
    <t xml:space="preserve">8. HOSTED.AI PLATFORM</t>
  </si>
  <si>
    <t xml:space="preserve">Include Hosted.ai in main statements (1=Yes, 0=No)</t>
  </si>
  <si>
    <t xml:space="preserve">VRAM per GPU (GB)</t>
  </si>
  <si>
    <t xml:space="preserve">GPU overcommit / multi-tenancy ratio (x)</t>
  </si>
  <si>
    <t xml:space="preserve">Virtualized service price premium (%)</t>
  </si>
  <si>
    <t xml:space="preserve">HAI allocation fee ($/GB-hr)</t>
  </si>
  <si>
    <t xml:space="preserve">HAI utilization fee ($/GB-hr)</t>
  </si>
  <si>
    <t xml:space="preserve">HAI minimum monthly fee ($)</t>
  </si>
  <si>
    <t xml:space="preserve">HOSTED.AI — DERIVED (calculated — do not overwrite)</t>
  </si>
  <si>
    <t xml:space="preserve">Total VRAM managed (GB)</t>
  </si>
  <si>
    <t xml:space="preserve">Effective overcommit ratio (applied)</t>
  </si>
  <si>
    <t xml:space="preserve">Effective price premium (applied)</t>
  </si>
  <si>
    <t xml:space="preserve">Effective utilization (applied, same both scenarios)</t>
  </si>
  <si>
    <t xml:space="preserve">Effective rental price, Year 1 ($/GPU-hr)</t>
  </si>
  <si>
    <t xml:space="preserve">Monthly Hosted.ai fee @ steady-state util. ($)</t>
  </si>
  <si>
    <t xml:space="preserve">Annual Hosted.ai fee @ steady-state ($)</t>
  </si>
  <si>
    <t xml:space="preserve">Annual billable GPU-hours (incl. overcommit)</t>
  </si>
  <si>
    <t xml:space="preserve">TCO Build-Up ($ / GPU-hr)</t>
  </si>
  <si>
    <t xml:space="preserve">Component</t>
  </si>
  <si>
    <t xml:space="preserve">$ / GPU-hr</t>
  </si>
  <si>
    <t xml:space="preserve">% of TCO</t>
  </si>
  <si>
    <t xml:space="preserve">Annualized ($)</t>
  </si>
  <si>
    <t xml:space="preserve">Capex — capital recovery @ WACC</t>
  </si>
  <si>
    <t xml:space="preserve">Power / colocation</t>
  </si>
  <si>
    <t xml:space="preserve">Maintenance &amp; support</t>
  </si>
  <si>
    <t xml:space="preserve">Insurance &amp; other</t>
  </si>
  <si>
    <t xml:space="preserve">Hosted.ai license fee</t>
  </si>
  <si>
    <t xml:space="preserve">Total TCO</t>
  </si>
  <si>
    <t xml:space="preserve">Gross margin @ list price</t>
  </si>
  <si>
    <t xml:space="preserve">Billable GPU-hours/yr (incl. overcommit)</t>
  </si>
  <si>
    <t xml:space="preserve">Income Statement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</si>
  <si>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</si>
  <si>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</si>
  <si>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</si>
  <si>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</si>
  <si>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</si>
  <si>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Utilization (effective)</t>
  </si>
  <si>
    <t xml:space="preserve">Rental price, effective ($/GPU-hr)</t>
  </si>
  <si>
    <t xml:space="preserve">Revenue</t>
  </si>
  <si>
    <t xml:space="preserve">COGS: power/colo+maint+insur+Hosted.ai</t>
  </si>
  <si>
    <t xml:space="preserve">Gross Profit</t>
  </si>
  <si>
    <t xml:space="preserve">SG&amp;A</t>
  </si>
  <si>
    <t xml:space="preserve">EBITDA</t>
  </si>
  <si>
    <t xml:space="preserve">Depreciation &amp; Amortization</t>
  </si>
  <si>
    <t xml:space="preserve">EBIT</t>
  </si>
  <si>
    <t xml:space="preserve">Interest Expense</t>
  </si>
  <si>
    <t xml:space="preserve">EBT</t>
  </si>
  <si>
    <t xml:space="preserve">Tax</t>
  </si>
  <si>
    <t xml:space="preserve">Net Income</t>
  </si>
  <si>
    <t xml:space="preserve">memo: Hosted.ai license fee (incl. above)</t>
  </si>
  <si>
    <t xml:space="preserve">Balance Sheet</t>
  </si>
  <si>
    <t xml:space="preserve">Year 0</t>
  </si>
  <si>
    <t xml:space="preserve">ASSETS</t>
  </si>
  <si>
    <t xml:space="preserve">LIABILITIES &amp; EQUITY</t>
  </si>
  <si>
    <t xml:space="preserve">Cash Flow Statement</t>
  </si>
  <si>
    <t xml:space="preserve">+ D&amp;A</t>
  </si>
  <si>
    <t xml:space="preserve">Cash Flow from Operations</t>
  </si>
  <si>
    <t xml:space="preserve">Capex (Investing)</t>
  </si>
  <si>
    <t xml:space="preserve">Debt Principal Repayment (Financing)</t>
  </si>
  <si>
    <t xml:space="preserve">Net Change in Cash</t>
  </si>
  <si>
    <t xml:space="preserve">Ending Cash Balance (tie to Balance Sheet)</t>
  </si>
  <si>
    <t xml:space="preserve">Returns — Project &amp; Equity Cash Flow</t>
  </si>
  <si>
    <t xml:space="preserve">Project IRR (unlevered)</t>
  </si>
  <si>
    <t xml:space="preserve">Equity IRR (levered)</t>
  </si>
  <si>
    <t xml:space="preserve">NPV — Project @ WACC</t>
  </si>
  <si>
    <t xml:space="preserve">NPV — Equity @ Cost of Equity</t>
  </si>
  <si>
    <t xml:space="preserve">Residual / salvage value at exit</t>
  </si>
  <si>
    <t xml:space="preserve">Simple payback (project, break-even year)</t>
  </si>
  <si>
    <t xml:space="preserve">Hosted.ai ROI — Without vs. With Comparison</t>
  </si>
  <si>
    <t xml:space="preserve">Always computes both scenarios regardless of the Assumptions!C66 toggle. Capex, financing, D&amp;A, and debt are identical in both — only revenue, pricing, and Hosted.ai fees differ.</t>
  </si>
  <si>
    <t xml:space="preserve">WITHOUT HOSTED.AI  (same utilization as With; no overcommit, no price premium, no license fee)</t>
  </si>
  <si>
    <t xml:space="preserve">Utilization (held constant vs. With)</t>
  </si>
  <si>
    <t xml:space="preserve">Rental price ($/GPU-hr)</t>
  </si>
  <si>
    <t xml:space="preserve">COGS (power/colo+maint+insurance)</t>
  </si>
  <si>
    <t xml:space="preserve">D&amp;A (shared — unaffected by Hosted.ai)</t>
  </si>
  <si>
    <t xml:space="preserve">Interest (shared — unaffected by Hosted.ai)</t>
  </si>
  <si>
    <t xml:space="preserve">WITH HOSTED.AI  (overcommit + price premium + license fee, always on for this block)</t>
  </si>
  <si>
    <t xml:space="preserve">Utilization</t>
  </si>
  <si>
    <t xml:space="preserve">Revenue (incl. overcommit)</t>
  </si>
  <si>
    <t xml:space="preserve">PROJECT &amp; EQUITY CASH FLOWS</t>
  </si>
  <si>
    <t xml:space="preserve">RETURNS &amp; DELTA SUMMARY</t>
  </si>
  <si>
    <t xml:space="preserve">Project IRR — Without</t>
  </si>
  <si>
    <t xml:space="preserve">Project IRR — With</t>
  </si>
  <si>
    <t xml:space="preserve">Equity IRR — Without</t>
  </si>
  <si>
    <t xml:space="preserve">Equity IRR — With</t>
  </si>
  <si>
    <t xml:space="preserve">NPV — Project, Without @ WACC</t>
  </si>
  <si>
    <t xml:space="preserve">NPV — Project, With @ WACC</t>
  </si>
  <si>
    <t xml:space="preserve">NPV — Equity, Without @ Cost of Equity</t>
  </si>
  <si>
    <t xml:space="preserve">NPV — Equity, With @ Cost of Equity</t>
  </si>
  <si>
    <t xml:space="preserve">Simple payback — Without (break-even year)</t>
  </si>
  <si>
    <t xml:space="preserve">Simple payback — With (break-even year)</t>
  </si>
  <si>
    <t xml:space="preserve">Cumulative Revenue — Without (5yr)</t>
  </si>
  <si>
    <t xml:space="preserve">Cumulative Revenue — With (5yr)</t>
  </si>
  <si>
    <t xml:space="preserve">Cumulative EBITDA — Without (5yr)</t>
  </si>
  <si>
    <t xml:space="preserve">Cumulative EBITDA — With (5yr)</t>
  </si>
  <si>
    <t xml:space="preserve">Cumulative Hosted.ai license fees paid (5yr)</t>
  </si>
  <si>
    <t xml:space="preserve">Δ Project NPV (With − Without)</t>
  </si>
  <si>
    <t xml:space="preserve">ROI multiple (ΔNPV ÷ cumulative license fee)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</si>
</sst>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\$#,##0;&quot;($&quot;#,##0\);\-"/>
    <numFmt numFmtId="167" formatCode="\$#,##0.000"/>
    <numFmt numFmtId="168" formatCode="0.00"/>
    <numFmt numFmtId="169" formatCode="0.0%;\(0.0%\);\-"/>
    <numFmt numFmtId="170" formatCode="\$#,##0.00;&quot;($&quot;#,##0.00\);\-"/>
    <numFmt numFmtId="171" formatCode="0.0000"/>
    <numFmt numFmtId="172" formatCode="0.0\x"/>
    <numFmt numFmtId="173" formatCode="\$#,##0.0000"/>
    <numFmt numFmtId="174" formatCode="\$#,##0.000;&quot;($&quot;#,##0.000\);\-"/>
    <numFmt numFmtId="175" formatCode="0"/>
    <numFmt numFmtId="176" formatCode="0.0\x;&quot;n/a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003366"/>
      </patternFill>
    </fill>
    <fill>
      <patternFill patternType="solid">
        <fgColor rgb="FF0B539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57BFF"/>
      <rgbColor rgb="FFFFB454"/>
      <rgbColor rgb="FF4F8CFF"/>
      <rgbColor rgb="FF3ECF8E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444"/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60" hidden="false" customHeight="tru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23.8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23.85" hidden="false" customHeight="false" outlineLevel="0" collapsed="false">
      <c r="B13" s="4" t="s">
        <v>9</v>
      </c>
    </row>
    <row r="15" customFormat="false" ht="15" hidden="false" customHeight="false" outlineLevel="0" collapsed="false">
      <c r="B15" s="3" t="s">
        <v>10</v>
      </c>
    </row>
    <row r="16" customFormat="false" ht="27.75" hidden="false" customHeight="true" outlineLevel="0" collapsed="false">
      <c r="B16" s="4" t="s">
        <v>11</v>
      </c>
    </row>
    <row r="17" customFormat="false" ht="27.75" hidden="false" customHeight="true" outlineLevel="0" collapsed="false">
      <c r="B17" s="4" t="s">
        <v>12</v>
      </c>
    </row>
    <row r="18" customFormat="false" ht="27.75" hidden="false" customHeight="true" outlineLevel="0" collapsed="false">
      <c r="B18" s="4" t="s">
        <v>13</v>
      </c>
    </row>
    <row r="19" customFormat="false" ht="27.75" hidden="false" customHeight="true" outlineLevel="0" collapsed="false">
      <c r="B19" s="4" t="s">
        <v>14</v>
      </c>
    </row>
    <row r="20" customFormat="false" ht="27.75" hidden="false" customHeight="true" outlineLevel="0" collapsed="false">
      <c r="B20" s="4" t="s">
        <v>15</v>
      </c>
    </row>
    <row r="21" customFormat="false" ht="27.75" hidden="false" customHeight="true" outlineLevel="0" collapsed="false">
      <c r="B21" s="4" t="s">
        <v>16</v>
      </c>
    </row>
    <row r="22" customFormat="false" ht="27.75" hidden="false" customHeight="true" outlineLevel="0" collapsed="false">
      <c r="B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394"/>
    <pageSetUpPr fitToPage="false"/>
  </sheetPr>
  <dimension ref="B1:E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17.35" hidden="false" customHeight="false" outlineLevel="0" collapsed="false">
      <c r="B1" s="1" t="s">
        <v>18</v>
      </c>
    </row>
    <row r="2" customFormat="false" ht="15" hidden="false" customHeight="false" outlineLevel="0" collapsed="false">
      <c r="B2" s="5" t="s">
        <v>19</v>
      </c>
    </row>
    <row r="4" customFormat="false" ht="15" hidden="false" customHeight="false" outlineLevel="0" collapsed="false">
      <c r="B4" s="6" t="s">
        <v>20</v>
      </c>
      <c r="C4" s="7"/>
      <c r="D4" s="7"/>
      <c r="E4" s="7"/>
    </row>
    <row r="5" customFormat="false" ht="15" hidden="false" customHeight="false" outlineLevel="0" collapsed="false">
      <c r="B5" s="8" t="s">
        <v>21</v>
      </c>
      <c r="C5" s="9" t="s">
        <v>22</v>
      </c>
      <c r="D5" s="10"/>
      <c r="E5" s="10"/>
    </row>
    <row r="6" customFormat="false" ht="15" hidden="false" customHeight="false" outlineLevel="0" collapsed="false">
      <c r="B6" s="8" t="s">
        <v>23</v>
      </c>
      <c r="C6" s="11" t="n">
        <v>8192</v>
      </c>
      <c r="D6" s="10"/>
      <c r="E6" s="10"/>
    </row>
    <row r="7" customFormat="false" ht="15" hidden="false" customHeight="false" outlineLevel="0" collapsed="false">
      <c r="B7" s="8" t="s">
        <v>24</v>
      </c>
      <c r="C7" s="12" t="n">
        <v>33000</v>
      </c>
      <c r="D7" s="10"/>
      <c r="E7" s="10"/>
    </row>
    <row r="8" customFormat="false" ht="15" hidden="false" customHeight="false" outlineLevel="0" collapsed="false">
      <c r="B8" s="8" t="s">
        <v>25</v>
      </c>
      <c r="C8" s="11" t="n">
        <v>1300</v>
      </c>
      <c r="D8" s="10"/>
      <c r="E8" s="10"/>
    </row>
    <row r="9" customFormat="false" ht="15" hidden="false" customHeight="false" outlineLevel="0" collapsed="false">
      <c r="B9" s="10"/>
      <c r="C9" s="10"/>
      <c r="D9" s="10"/>
      <c r="E9" s="10"/>
    </row>
    <row r="10" customFormat="false" ht="15" hidden="false" customHeight="false" outlineLevel="0" collapsed="false">
      <c r="B10" s="6" t="s">
        <v>26</v>
      </c>
      <c r="C10" s="7"/>
      <c r="D10" s="7"/>
      <c r="E10" s="7"/>
    </row>
    <row r="11" customFormat="false" ht="15" hidden="false" customHeight="false" outlineLevel="0" collapsed="false">
      <c r="B11" s="8" t="s">
        <v>27</v>
      </c>
      <c r="C11" s="11" t="n">
        <v>1</v>
      </c>
      <c r="D11" s="10"/>
      <c r="E11" s="10"/>
    </row>
    <row r="12" customFormat="false" ht="15" hidden="false" customHeight="false" outlineLevel="0" collapsed="false">
      <c r="B12" s="8" t="s">
        <v>28</v>
      </c>
      <c r="C12" s="12" t="n">
        <v>180</v>
      </c>
      <c r="D12" s="10"/>
      <c r="E12" s="10"/>
    </row>
    <row r="13" customFormat="false" ht="15" hidden="false" customHeight="false" outlineLevel="0" collapsed="false">
      <c r="B13" s="8" t="s">
        <v>29</v>
      </c>
      <c r="C13" s="13" t="n">
        <v>0.08</v>
      </c>
      <c r="D13" s="10"/>
      <c r="E13" s="10"/>
    </row>
    <row r="14" customFormat="false" ht="15" hidden="false" customHeight="false" outlineLevel="0" collapsed="false">
      <c r="B14" s="8" t="s">
        <v>30</v>
      </c>
      <c r="C14" s="14" t="n">
        <v>1.3</v>
      </c>
      <c r="D14" s="10"/>
      <c r="E14" s="10"/>
    </row>
    <row r="15" customFormat="false" ht="15" hidden="false" customHeight="false" outlineLevel="0" collapsed="false">
      <c r="B15" s="10"/>
      <c r="C15" s="10"/>
      <c r="D15" s="10"/>
      <c r="E15" s="10"/>
    </row>
    <row r="16" customFormat="false" ht="15" hidden="false" customHeight="false" outlineLevel="0" collapsed="false">
      <c r="B16" s="6" t="s">
        <v>31</v>
      </c>
      <c r="C16" s="7"/>
      <c r="D16" s="7"/>
      <c r="E16" s="7"/>
    </row>
    <row r="17" customFormat="false" ht="15" hidden="false" customHeight="false" outlineLevel="0" collapsed="false">
      <c r="B17" s="8" t="s">
        <v>32</v>
      </c>
      <c r="C17" s="15" t="n">
        <v>0.5</v>
      </c>
      <c r="D17" s="10"/>
      <c r="E17" s="10"/>
    </row>
    <row r="18" customFormat="false" ht="15" hidden="false" customHeight="false" outlineLevel="0" collapsed="false">
      <c r="B18" s="8" t="s">
        <v>33</v>
      </c>
      <c r="C18" s="15" t="n">
        <v>0.08</v>
      </c>
      <c r="D18" s="10"/>
      <c r="E18" s="10"/>
    </row>
    <row r="19" customFormat="false" ht="15" hidden="false" customHeight="false" outlineLevel="0" collapsed="false">
      <c r="B19" s="8" t="s">
        <v>34</v>
      </c>
      <c r="C19" s="11" t="n">
        <v>5</v>
      </c>
      <c r="D19" s="10"/>
      <c r="E19" s="10"/>
    </row>
    <row r="20" customFormat="false" ht="15" hidden="false" customHeight="false" outlineLevel="0" collapsed="false">
      <c r="B20" s="10"/>
      <c r="C20" s="10"/>
      <c r="D20" s="10"/>
      <c r="E20" s="10"/>
    </row>
    <row r="21" customFormat="false" ht="15" hidden="false" customHeight="false" outlineLevel="0" collapsed="false">
      <c r="B21" s="6" t="s">
        <v>35</v>
      </c>
      <c r="C21" s="7"/>
      <c r="D21" s="7"/>
      <c r="E21" s="7"/>
    </row>
    <row r="22" customFormat="false" ht="15" hidden="false" customHeight="false" outlineLevel="0" collapsed="false">
      <c r="B22" s="8" t="s">
        <v>36</v>
      </c>
      <c r="C22" s="11" t="n">
        <v>5</v>
      </c>
      <c r="D22" s="10"/>
      <c r="E22" s="10"/>
    </row>
    <row r="23" customFormat="false" ht="15" hidden="false" customHeight="false" outlineLevel="0" collapsed="false">
      <c r="B23" s="8" t="s">
        <v>37</v>
      </c>
      <c r="C23" s="15" t="n">
        <v>0.1</v>
      </c>
      <c r="D23" s="10"/>
      <c r="E23" s="10"/>
    </row>
    <row r="24" customFormat="false" ht="15" hidden="false" customHeight="false" outlineLevel="0" collapsed="false">
      <c r="B24" s="10"/>
      <c r="C24" s="10"/>
      <c r="D24" s="10"/>
      <c r="E24" s="10"/>
    </row>
    <row r="25" customFormat="false" ht="15" hidden="false" customHeight="false" outlineLevel="0" collapsed="false">
      <c r="B25" s="6" t="s">
        <v>38</v>
      </c>
      <c r="C25" s="7"/>
      <c r="D25" s="7"/>
      <c r="E25" s="7"/>
    </row>
    <row r="26" customFormat="false" ht="15" hidden="false" customHeight="false" outlineLevel="0" collapsed="false">
      <c r="B26" s="8" t="s">
        <v>39</v>
      </c>
      <c r="C26" s="16" t="n">
        <v>2.5</v>
      </c>
      <c r="D26" s="10"/>
      <c r="E26" s="10"/>
    </row>
    <row r="27" customFormat="false" ht="15" hidden="false" customHeight="false" outlineLevel="0" collapsed="false">
      <c r="B27" s="8" t="s">
        <v>40</v>
      </c>
      <c r="C27" s="15" t="n">
        <v>0.8</v>
      </c>
      <c r="D27" s="10"/>
      <c r="E27" s="10"/>
    </row>
    <row r="28" customFormat="false" ht="15" hidden="false" customHeight="false" outlineLevel="0" collapsed="false">
      <c r="B28" s="8" t="s">
        <v>41</v>
      </c>
      <c r="C28" s="15" t="n">
        <v>0.8</v>
      </c>
      <c r="D28" s="10"/>
      <c r="E28" s="10"/>
    </row>
    <row r="29" customFormat="false" ht="15" hidden="false" customHeight="false" outlineLevel="0" collapsed="false">
      <c r="B29" s="8" t="s">
        <v>42</v>
      </c>
      <c r="C29" s="15" t="n">
        <v>0.05</v>
      </c>
      <c r="D29" s="10"/>
      <c r="E29" s="10"/>
    </row>
    <row r="30" customFormat="false" ht="15" hidden="false" customHeight="false" outlineLevel="0" collapsed="false">
      <c r="B30" s="10"/>
      <c r="C30" s="10"/>
      <c r="D30" s="10"/>
      <c r="E30" s="10"/>
    </row>
    <row r="31" customFormat="false" ht="15" hidden="false" customHeight="false" outlineLevel="0" collapsed="false">
      <c r="B31" s="6" t="s">
        <v>43</v>
      </c>
      <c r="C31" s="7"/>
      <c r="D31" s="7"/>
      <c r="E31" s="7"/>
    </row>
    <row r="32" customFormat="false" ht="15" hidden="false" customHeight="false" outlineLevel="0" collapsed="false">
      <c r="B32" s="8" t="s">
        <v>44</v>
      </c>
      <c r="C32" s="15" t="n">
        <v>0.03</v>
      </c>
      <c r="D32" s="10"/>
      <c r="E32" s="10"/>
    </row>
    <row r="33" customFormat="false" ht="15" hidden="false" customHeight="false" outlineLevel="0" collapsed="false">
      <c r="B33" s="8" t="s">
        <v>45</v>
      </c>
      <c r="C33" s="15" t="n">
        <v>0.01</v>
      </c>
      <c r="D33" s="10"/>
      <c r="E33" s="10"/>
    </row>
    <row r="34" customFormat="false" ht="15" hidden="false" customHeight="false" outlineLevel="0" collapsed="false">
      <c r="B34" s="8" t="s">
        <v>46</v>
      </c>
      <c r="C34" s="15" t="n">
        <v>0.08</v>
      </c>
      <c r="D34" s="10"/>
      <c r="E34" s="10"/>
    </row>
    <row r="35" customFormat="false" ht="15" hidden="false" customHeight="false" outlineLevel="0" collapsed="false">
      <c r="B35" s="8" t="s">
        <v>47</v>
      </c>
      <c r="C35" s="15" t="n">
        <v>0.21</v>
      </c>
      <c r="D35" s="10"/>
      <c r="E35" s="10"/>
    </row>
    <row r="36" customFormat="false" ht="15" hidden="false" customHeight="false" outlineLevel="0" collapsed="false">
      <c r="B36" s="10"/>
      <c r="C36" s="10"/>
      <c r="D36" s="10"/>
      <c r="E36" s="10"/>
    </row>
    <row r="37" customFormat="false" ht="15" hidden="false" customHeight="false" outlineLevel="0" collapsed="false">
      <c r="B37" s="6" t="s">
        <v>48</v>
      </c>
      <c r="C37" s="7"/>
      <c r="D37" s="7"/>
      <c r="E37" s="7"/>
    </row>
    <row r="38" customFormat="false" ht="15" hidden="false" customHeight="false" outlineLevel="0" collapsed="false">
      <c r="B38" s="8" t="s">
        <v>49</v>
      </c>
      <c r="C38" s="11" t="n">
        <v>5</v>
      </c>
      <c r="D38" s="10"/>
      <c r="E38" s="10"/>
    </row>
    <row r="39" customFormat="false" ht="15" hidden="false" customHeight="false" outlineLevel="0" collapsed="false">
      <c r="B39" s="8" t="s">
        <v>50</v>
      </c>
      <c r="C39" s="15" t="n">
        <v>0.12</v>
      </c>
      <c r="D39" s="10"/>
      <c r="E39" s="10"/>
    </row>
    <row r="40" customFormat="false" ht="15" hidden="false" customHeight="false" outlineLevel="0" collapsed="false">
      <c r="B40" s="8" t="s">
        <v>51</v>
      </c>
      <c r="C40" s="15" t="n">
        <v>0.18</v>
      </c>
      <c r="D40" s="10"/>
      <c r="E40" s="10"/>
    </row>
    <row r="41" customFormat="false" ht="15" hidden="false" customHeight="false" outlineLevel="0" collapsed="false">
      <c r="B41" s="10"/>
      <c r="C41" s="10"/>
      <c r="D41" s="10"/>
      <c r="E41" s="10"/>
    </row>
    <row r="42" customFormat="false" ht="15" hidden="false" customHeight="false" outlineLevel="0" collapsed="false">
      <c r="B42" s="6" t="s">
        <v>52</v>
      </c>
      <c r="C42" s="7"/>
      <c r="D42" s="7"/>
      <c r="E42" s="7"/>
    </row>
    <row r="43" customFormat="false" ht="15" hidden="false" customHeight="false" outlineLevel="0" collapsed="false">
      <c r="B43" s="8" t="s">
        <v>53</v>
      </c>
      <c r="C43" s="17" t="n">
        <f aca="false">C6*C7</f>
        <v>270336000</v>
      </c>
      <c r="D43" s="10"/>
      <c r="E43" s="10"/>
    </row>
    <row r="44" customFormat="false" ht="15" hidden="false" customHeight="false" outlineLevel="0" collapsed="false">
      <c r="B44" s="8" t="s">
        <v>54</v>
      </c>
      <c r="C44" s="17" t="n">
        <f aca="false">C43*C17</f>
        <v>135168000</v>
      </c>
      <c r="D44" s="10"/>
      <c r="E44" s="10"/>
    </row>
    <row r="45" customFormat="false" ht="15" hidden="false" customHeight="false" outlineLevel="0" collapsed="false">
      <c r="B45" s="8" t="s">
        <v>55</v>
      </c>
      <c r="C45" s="17" t="n">
        <f aca="false">C43-C44</f>
        <v>135168000</v>
      </c>
      <c r="D45" s="10"/>
      <c r="E45" s="10"/>
    </row>
    <row r="46" customFormat="false" ht="15" hidden="false" customHeight="false" outlineLevel="0" collapsed="false">
      <c r="B46" s="8" t="s">
        <v>56</v>
      </c>
      <c r="C46" s="18" t="n">
        <f aca="false">C6*C8/1000</f>
        <v>10649.6</v>
      </c>
      <c r="D46" s="10"/>
      <c r="E46" s="10"/>
    </row>
    <row r="47" customFormat="false" ht="15" hidden="false" customHeight="false" outlineLevel="0" collapsed="false">
      <c r="B47" s="8" t="s">
        <v>57</v>
      </c>
      <c r="C47" s="17" t="n">
        <f aca="false">IF(C11=1,C46*C12*12,C46*C14*8760*C13)</f>
        <v>23003136</v>
      </c>
      <c r="D47" s="10"/>
      <c r="E47" s="10"/>
    </row>
    <row r="48" customFormat="false" ht="15" hidden="false" customHeight="false" outlineLevel="0" collapsed="false">
      <c r="B48" s="8" t="s">
        <v>58</v>
      </c>
      <c r="C48" s="19" t="n">
        <f aca="false">C39*(1+C39)^C22/((1+C39)^C22-1)</f>
        <v>0.277409731941049</v>
      </c>
      <c r="D48" s="10"/>
      <c r="E48" s="10"/>
    </row>
    <row r="49" customFormat="false" ht="15" hidden="false" customHeight="false" outlineLevel="0" collapsed="false">
      <c r="B49" s="8" t="s">
        <v>59</v>
      </c>
      <c r="C49" s="17" t="n">
        <f aca="false">C43*(1-C23)*C48+C43*C23*C39</f>
        <v>70738485.5646138</v>
      </c>
      <c r="D49" s="10"/>
      <c r="E49" s="10"/>
    </row>
    <row r="50" customFormat="false" ht="15" hidden="false" customHeight="false" outlineLevel="0" collapsed="false">
      <c r="B50" s="8" t="s">
        <v>60</v>
      </c>
      <c r="C50" s="17" t="n">
        <f aca="false">C43*C32</f>
        <v>8110080</v>
      </c>
      <c r="D50" s="10"/>
      <c r="E50" s="10"/>
    </row>
    <row r="51" customFormat="false" ht="15" hidden="false" customHeight="false" outlineLevel="0" collapsed="false">
      <c r="B51" s="8" t="s">
        <v>61</v>
      </c>
      <c r="C51" s="17" t="n">
        <f aca="false">C43*C33</f>
        <v>2703360</v>
      </c>
      <c r="D51" s="10"/>
      <c r="E51" s="10"/>
    </row>
    <row r="52" customFormat="false" ht="15" hidden="false" customHeight="false" outlineLevel="0" collapsed="false">
      <c r="B52" s="8" t="s">
        <v>62</v>
      </c>
      <c r="C52" s="18" t="n">
        <f aca="false">C6*8760*C27</f>
        <v>57409536</v>
      </c>
      <c r="D52" s="10"/>
      <c r="E52" s="10"/>
    </row>
    <row r="53" customFormat="false" ht="15" hidden="false" customHeight="false" outlineLevel="0" collapsed="false">
      <c r="B53" s="8" t="s">
        <v>63</v>
      </c>
      <c r="C53" s="17" t="n">
        <f aca="false">(C43-C43*C23)/C22</f>
        <v>48660480</v>
      </c>
      <c r="D53" s="10"/>
      <c r="E53" s="10"/>
    </row>
    <row r="54" customFormat="false" ht="15" hidden="false" customHeight="false" outlineLevel="0" collapsed="false">
      <c r="B54" s="8" t="s">
        <v>64</v>
      </c>
      <c r="C54" s="17" t="n">
        <f aca="false">C44/C19</f>
        <v>27033600</v>
      </c>
      <c r="D54" s="10"/>
      <c r="E54" s="10"/>
    </row>
    <row r="55" customFormat="false" ht="15" hidden="false" customHeight="false" outlineLevel="0" collapsed="false">
      <c r="B55" s="10"/>
      <c r="C55" s="10"/>
      <c r="D55" s="10"/>
      <c r="E55" s="10"/>
    </row>
    <row r="56" customFormat="false" ht="15" hidden="false" customHeight="false" outlineLevel="0" collapsed="false">
      <c r="B56" s="6" t="s">
        <v>65</v>
      </c>
      <c r="C56" s="7"/>
      <c r="D56" s="7"/>
      <c r="E56" s="7"/>
    </row>
    <row r="57" customFormat="false" ht="15" hidden="false" customHeight="false" outlineLevel="0" collapsed="false">
      <c r="B57" s="20" t="s">
        <v>66</v>
      </c>
      <c r="C57" s="20" t="s">
        <v>67</v>
      </c>
      <c r="D57" s="20" t="s">
        <v>68</v>
      </c>
      <c r="E57" s="20" t="s">
        <v>69</v>
      </c>
    </row>
    <row r="58" customFormat="false" ht="15" hidden="false" customHeight="false" outlineLevel="0" collapsed="false">
      <c r="B58" s="10" t="s">
        <v>70</v>
      </c>
      <c r="C58" s="21" t="n">
        <v>33000</v>
      </c>
      <c r="D58" s="22" t="n">
        <v>1300</v>
      </c>
      <c r="E58" s="23" t="n">
        <v>2.5</v>
      </c>
    </row>
    <row r="59" customFormat="false" ht="15" hidden="false" customHeight="false" outlineLevel="0" collapsed="false">
      <c r="B59" s="10" t="s">
        <v>71</v>
      </c>
      <c r="C59" s="21" t="n">
        <v>40000</v>
      </c>
      <c r="D59" s="22" t="n">
        <v>1400</v>
      </c>
      <c r="E59" s="23" t="n">
        <v>3</v>
      </c>
    </row>
    <row r="60" customFormat="false" ht="15" hidden="false" customHeight="false" outlineLevel="0" collapsed="false">
      <c r="B60" s="10" t="s">
        <v>72</v>
      </c>
      <c r="C60" s="21" t="n">
        <v>50000</v>
      </c>
      <c r="D60" s="22" t="n">
        <v>1700</v>
      </c>
      <c r="E60" s="23" t="n">
        <v>4.5</v>
      </c>
    </row>
    <row r="61" customFormat="false" ht="15" hidden="false" customHeight="false" outlineLevel="0" collapsed="false">
      <c r="B61" s="10" t="s">
        <v>73</v>
      </c>
      <c r="C61" s="21" t="n">
        <v>54167</v>
      </c>
      <c r="D61" s="22" t="n">
        <v>1833</v>
      </c>
      <c r="E61" s="23" t="n">
        <v>18</v>
      </c>
    </row>
    <row r="62" customFormat="false" ht="15" hidden="false" customHeight="false" outlineLevel="0" collapsed="false">
      <c r="B62" s="10"/>
      <c r="C62" s="10"/>
      <c r="D62" s="10"/>
      <c r="E62" s="10"/>
    </row>
    <row r="63" customFormat="false" ht="30" hidden="false" customHeight="true" outlineLevel="0" collapsed="false">
      <c r="B63" s="24" t="s">
        <v>74</v>
      </c>
      <c r="C63" s="10"/>
      <c r="D63" s="10"/>
      <c r="E63" s="10"/>
    </row>
    <row r="64" customFormat="false" ht="15" hidden="false" customHeight="false" outlineLevel="0" collapsed="false">
      <c r="B64" s="10"/>
      <c r="C64" s="10"/>
      <c r="D64" s="10"/>
      <c r="E64" s="10"/>
    </row>
    <row r="65" customFormat="false" ht="15" hidden="false" customHeight="false" outlineLevel="0" collapsed="false">
      <c r="B65" s="6" t="s">
        <v>75</v>
      </c>
      <c r="C65" s="7"/>
      <c r="D65" s="7"/>
      <c r="E65" s="7"/>
    </row>
    <row r="66" customFormat="false" ht="15" hidden="false" customHeight="false" outlineLevel="0" collapsed="false">
      <c r="B66" s="8" t="s">
        <v>76</v>
      </c>
      <c r="C66" s="11" t="n">
        <v>1</v>
      </c>
      <c r="D66" s="10"/>
      <c r="E66" s="10"/>
    </row>
    <row r="67" customFormat="false" ht="15" hidden="false" customHeight="false" outlineLevel="0" collapsed="false">
      <c r="B67" s="8" t="s">
        <v>77</v>
      </c>
      <c r="C67" s="11" t="n">
        <v>80</v>
      </c>
      <c r="D67" s="10"/>
      <c r="E67" s="10"/>
    </row>
    <row r="68" customFormat="false" ht="15" hidden="false" customHeight="false" outlineLevel="0" collapsed="false">
      <c r="B68" s="8" t="s">
        <v>78</v>
      </c>
      <c r="C68" s="25" t="n">
        <v>3</v>
      </c>
      <c r="D68" s="10"/>
      <c r="E68" s="10"/>
    </row>
    <row r="69" customFormat="false" ht="15" hidden="false" customHeight="false" outlineLevel="0" collapsed="false">
      <c r="B69" s="8" t="s">
        <v>79</v>
      </c>
      <c r="C69" s="15" t="n">
        <v>0.05</v>
      </c>
      <c r="D69" s="10"/>
      <c r="E69" s="10"/>
    </row>
    <row r="70" customFormat="false" ht="15" hidden="false" customHeight="false" outlineLevel="0" collapsed="false">
      <c r="B70" s="8" t="s">
        <v>80</v>
      </c>
      <c r="C70" s="26" t="n">
        <v>0.0005</v>
      </c>
      <c r="D70" s="10"/>
      <c r="E70" s="10"/>
    </row>
    <row r="71" customFormat="false" ht="15" hidden="false" customHeight="false" outlineLevel="0" collapsed="false">
      <c r="B71" s="8" t="s">
        <v>81</v>
      </c>
      <c r="C71" s="26" t="n">
        <v>0.003</v>
      </c>
      <c r="D71" s="10"/>
      <c r="E71" s="10"/>
    </row>
    <row r="72" customFormat="false" ht="15" hidden="false" customHeight="false" outlineLevel="0" collapsed="false">
      <c r="B72" s="8" t="s">
        <v>82</v>
      </c>
      <c r="C72" s="12" t="n">
        <v>750</v>
      </c>
      <c r="D72" s="10"/>
      <c r="E72" s="10"/>
    </row>
    <row r="73" customFormat="false" ht="15" hidden="false" customHeight="false" outlineLevel="0" collapsed="false">
      <c r="B73" s="10"/>
      <c r="C73" s="10"/>
      <c r="D73" s="10"/>
      <c r="E73" s="10"/>
    </row>
    <row r="74" customFormat="false" ht="15" hidden="false" customHeight="false" outlineLevel="0" collapsed="false">
      <c r="B74" s="6" t="s">
        <v>83</v>
      </c>
      <c r="C74" s="7"/>
      <c r="D74" s="7"/>
      <c r="E74" s="7"/>
    </row>
    <row r="75" customFormat="false" ht="15" hidden="false" customHeight="false" outlineLevel="0" collapsed="false">
      <c r="B75" s="8" t="s">
        <v>84</v>
      </c>
      <c r="C75" s="18" t="n">
        <f aca="false">C6*C67</f>
        <v>655360</v>
      </c>
      <c r="D75" s="10"/>
      <c r="E75" s="10"/>
    </row>
    <row r="76" customFormat="false" ht="15" hidden="false" customHeight="false" outlineLevel="0" collapsed="false">
      <c r="B76" s="8" t="s">
        <v>85</v>
      </c>
      <c r="C76" s="27" t="n">
        <f aca="false">IF(C66=1,C68,1)</f>
        <v>3</v>
      </c>
      <c r="D76" s="10"/>
      <c r="E76" s="10"/>
    </row>
    <row r="77" customFormat="false" ht="15" hidden="false" customHeight="false" outlineLevel="0" collapsed="false">
      <c r="B77" s="8" t="s">
        <v>86</v>
      </c>
      <c r="C77" s="28" t="n">
        <f aca="false">IF(C66=1,C69,0)</f>
        <v>0.05</v>
      </c>
      <c r="D77" s="10"/>
      <c r="E77" s="10"/>
    </row>
    <row r="78" customFormat="false" ht="15" hidden="false" customHeight="false" outlineLevel="0" collapsed="false">
      <c r="B78" s="8" t="s">
        <v>87</v>
      </c>
      <c r="C78" s="28" t="n">
        <f aca="false">C27</f>
        <v>0.8</v>
      </c>
      <c r="D78" s="10"/>
      <c r="E78" s="10"/>
    </row>
    <row r="79" customFormat="false" ht="15" hidden="false" customHeight="false" outlineLevel="0" collapsed="false">
      <c r="B79" s="8" t="s">
        <v>88</v>
      </c>
      <c r="C79" s="29" t="n">
        <f aca="false">C26*(1+C77)</f>
        <v>2.625</v>
      </c>
      <c r="D79" s="10"/>
      <c r="E79" s="10"/>
    </row>
    <row r="80" customFormat="false" ht="15" hidden="false" customHeight="false" outlineLevel="0" collapsed="false">
      <c r="B80" s="8" t="s">
        <v>89</v>
      </c>
      <c r="C80" s="17" t="n">
        <f aca="false">IF(C66=1,MAX(C72,C75*720*C70+C75*720*C78*C71),0)</f>
        <v>1368391.68</v>
      </c>
      <c r="D80" s="10"/>
      <c r="E80" s="10"/>
    </row>
    <row r="81" customFormat="false" ht="15" hidden="false" customHeight="false" outlineLevel="0" collapsed="false">
      <c r="B81" s="8" t="s">
        <v>90</v>
      </c>
      <c r="C81" s="17" t="n">
        <f aca="false">C80*12</f>
        <v>16420700.16</v>
      </c>
      <c r="D81" s="10"/>
      <c r="E81" s="10"/>
    </row>
    <row r="82" customFormat="false" ht="15" hidden="false" customHeight="false" outlineLevel="0" collapsed="false">
      <c r="B82" s="8" t="s">
        <v>91</v>
      </c>
      <c r="C82" s="18" t="n">
        <f aca="false">C6*8760*C78*C76</f>
        <v>172228608</v>
      </c>
      <c r="D82" s="10"/>
      <c r="E8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CF8E"/>
    <pageSetUpPr fitToPage="fals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8"/>
  </cols>
  <sheetData>
    <row r="1" customFormat="false" ht="17.35" hidden="false" customHeight="false" outlineLevel="0" collapsed="false">
      <c r="B1" s="1" t="s">
        <v>92</v>
      </c>
    </row>
    <row r="3" customFormat="false" ht="15" hidden="false" customHeight="false" outlineLevel="0" collapsed="false">
      <c r="B3" s="30" t="s">
        <v>93</v>
      </c>
      <c r="C3" s="30" t="s">
        <v>94</v>
      </c>
      <c r="D3" s="30" t="s">
        <v>95</v>
      </c>
      <c r="E3" s="30" t="s">
        <v>96</v>
      </c>
    </row>
    <row r="4" customFormat="false" ht="15" hidden="false" customHeight="false" outlineLevel="0" collapsed="false">
      <c r="B4" s="8" t="s">
        <v>97</v>
      </c>
      <c r="C4" s="31" t="n">
        <f aca="false">Assumptions!C49/Assumptions!C82</f>
        <v>0.410724364471516</v>
      </c>
      <c r="D4" s="32" t="n">
        <f aca="false">C4/$C$9</f>
        <v>0.584732714687436</v>
      </c>
      <c r="E4" s="33" t="n">
        <f aca="false">Assumptions!C49</f>
        <v>70738485.5646138</v>
      </c>
    </row>
    <row r="5" customFormat="false" ht="15" hidden="false" customHeight="false" outlineLevel="0" collapsed="false">
      <c r="B5" s="8" t="s">
        <v>98</v>
      </c>
      <c r="C5" s="31" t="n">
        <f aca="false">Assumptions!C47/Assumptions!C82</f>
        <v>0.133561643835616</v>
      </c>
      <c r="D5" s="32" t="n">
        <f aca="false">C5/$C$9</f>
        <v>0.190146651461999</v>
      </c>
      <c r="E5" s="33" t="n">
        <f aca="false">Assumptions!C47</f>
        <v>23003136</v>
      </c>
    </row>
    <row r="6" customFormat="false" ht="15" hidden="false" customHeight="false" outlineLevel="0" collapsed="false">
      <c r="B6" s="8" t="s">
        <v>99</v>
      </c>
      <c r="C6" s="31" t="n">
        <f aca="false">Assumptions!C50/Assumptions!C82</f>
        <v>0.0470890410958904</v>
      </c>
      <c r="D6" s="32" t="n">
        <f aca="false">C6/$C$9</f>
        <v>0.0670388835282689</v>
      </c>
      <c r="E6" s="33" t="n">
        <f aca="false">Assumptions!C50</f>
        <v>8110080</v>
      </c>
    </row>
    <row r="7" customFormat="false" ht="15" hidden="false" customHeight="false" outlineLevel="0" collapsed="false">
      <c r="B7" s="8" t="s">
        <v>100</v>
      </c>
      <c r="C7" s="31" t="n">
        <f aca="false">Assumptions!C51/Assumptions!C82</f>
        <v>0.0156963470319635</v>
      </c>
      <c r="D7" s="32" t="n">
        <f aca="false">C7/$C$9</f>
        <v>0.022346294509423</v>
      </c>
      <c r="E7" s="33" t="n">
        <f aca="false">Assumptions!C51</f>
        <v>2703360</v>
      </c>
    </row>
    <row r="8" customFormat="false" ht="15" hidden="false" customHeight="false" outlineLevel="0" collapsed="false">
      <c r="B8" s="8" t="s">
        <v>101</v>
      </c>
      <c r="C8" s="31" t="n">
        <f aca="false">Assumptions!C81/Assumptions!C82</f>
        <v>0.0953424657534247</v>
      </c>
      <c r="D8" s="32" t="n">
        <f aca="false">C8/$C$9</f>
        <v>0.135735455812873</v>
      </c>
      <c r="E8" s="33" t="n">
        <f aca="false">Assumptions!C81</f>
        <v>16420700.16</v>
      </c>
    </row>
    <row r="9" customFormat="false" ht="15" hidden="false" customHeight="false" outlineLevel="0" collapsed="false">
      <c r="B9" s="20" t="s">
        <v>102</v>
      </c>
      <c r="C9" s="34" t="n">
        <f aca="false">SUM(C4:C8)</f>
        <v>0.702413862188411</v>
      </c>
      <c r="D9" s="32" t="n">
        <f aca="false">C9/$C$9</f>
        <v>1</v>
      </c>
      <c r="E9" s="35" t="n">
        <f aca="false">SUM(E4:E8)</f>
        <v>120975761.724614</v>
      </c>
    </row>
    <row r="10" customFormat="false" ht="15" hidden="false" customHeight="false" outlineLevel="0" collapsed="false">
      <c r="B10" s="10"/>
      <c r="C10" s="10"/>
      <c r="D10" s="10"/>
      <c r="E10" s="10"/>
    </row>
    <row r="11" customFormat="false" ht="15" hidden="false" customHeight="false" outlineLevel="0" collapsed="false">
      <c r="B11" s="8" t="s">
        <v>88</v>
      </c>
      <c r="C11" s="36" t="n">
        <f aca="false">Assumptions!C79</f>
        <v>2.625</v>
      </c>
      <c r="D11" s="10"/>
      <c r="E11" s="10"/>
    </row>
    <row r="12" customFormat="false" ht="15" hidden="false" customHeight="false" outlineLevel="0" collapsed="false">
      <c r="B12" s="20" t="s">
        <v>103</v>
      </c>
      <c r="C12" s="37" t="n">
        <f aca="false">(C11-C9)/C11</f>
        <v>0.732413766785367</v>
      </c>
      <c r="D12" s="10"/>
      <c r="E12" s="10"/>
    </row>
    <row r="13" customFormat="false" ht="15" hidden="false" customHeight="false" outlineLevel="0" collapsed="false">
      <c r="B13" s="8" t="s">
        <v>104</v>
      </c>
      <c r="C13" s="38" t="n">
        <f aca="false">Assumptions!C82</f>
        <v>172228608</v>
      </c>
      <c r="D13" s="10"/>
      <c r="E1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CFF"/>
    <pageSetUpPr fitToPage="false"/>
  </sheetPr>
  <dimension ref="B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1" t="s">
        <v>105</v>
      </c>
    </row>
    <row r="3" customFormat="false" ht="15" hidden="false" customHeight="false" outlineLevel="0" collapsed="false">
      <c r="B3" s="39"/>
      <c r="C3" s="30" t="s">
        <v>106</v>
      </c>
      <c r="D3" s="30" t="s">
        <v>107</v>
      </c>
      <c r="E3" s="30" t="s">
        <v>108</v>
      </c>
      <c r="F3" s="30" t="s">
        <v>109</v>
      </c>
      <c r="G3" s="30" t="s">
        <v>110</v>
      </c>
    </row>
    <row r="4" customFormat="false" ht="15" hidden="false" customHeight="false" outlineLevel="0" collapsed="false">
      <c r="B4" s="8" t="s">
        <v>111</v>
      </c>
      <c r="C4" s="40" t="n">
        <f aca="false">Assumptions!$C$78*Assumptions!$C$28</f>
        <v>0.64</v>
      </c>
      <c r="D4" s="40" t="n">
        <f aca="false">Assumptions!$C$78</f>
        <v>0.8</v>
      </c>
      <c r="E4" s="40" t="n">
        <f aca="false">Assumptions!$C$78</f>
        <v>0.8</v>
      </c>
      <c r="F4" s="40" t="n">
        <f aca="false">Assumptions!$C$78</f>
        <v>0.8</v>
      </c>
      <c r="G4" s="40" t="n">
        <f aca="false">Assumptions!$C$78</f>
        <v>0.8</v>
      </c>
    </row>
    <row r="5" customFormat="false" ht="15" hidden="false" customHeight="false" outlineLevel="0" collapsed="false">
      <c r="B5" s="8" t="s">
        <v>112</v>
      </c>
      <c r="C5" s="36" t="n">
        <f aca="false">Assumptions!$C$79</f>
        <v>2.625</v>
      </c>
      <c r="D5" s="36" t="n">
        <f aca="false">C5*(1-Assumptions!$C$29)</f>
        <v>2.49375</v>
      </c>
      <c r="E5" s="36" t="n">
        <f aca="false">D5*(1-Assumptions!$C$29)</f>
        <v>2.3690625</v>
      </c>
      <c r="F5" s="36" t="n">
        <f aca="false">E5*(1-Assumptions!$C$29)</f>
        <v>2.250609375</v>
      </c>
      <c r="G5" s="36" t="n">
        <f aca="false">F5*(1-Assumptions!$C$29)</f>
        <v>2.13807890625</v>
      </c>
    </row>
    <row r="6" customFormat="false" ht="15" hidden="false" customHeight="false" outlineLevel="0" collapsed="false">
      <c r="B6" s="8" t="s">
        <v>113</v>
      </c>
      <c r="C6" s="17" t="n">
        <f aca="false">C4*C5*Assumptions!$C$6*8760*Assumptions!$C$76</f>
        <v>361680076.8</v>
      </c>
      <c r="D6" s="17" t="n">
        <f aca="false">D4*D5*Assumptions!$C$6*8760*Assumptions!$C$76</f>
        <v>429495091.2</v>
      </c>
      <c r="E6" s="17" t="n">
        <f aca="false">E4*E5*Assumptions!$C$6*8760*Assumptions!$C$76</f>
        <v>408020336.64</v>
      </c>
      <c r="F6" s="17" t="n">
        <f aca="false">F4*F5*Assumptions!$C$6*8760*Assumptions!$C$76</f>
        <v>387619319.808</v>
      </c>
      <c r="G6" s="17" t="n">
        <f aca="false">G4*G5*Assumptions!$C$6*8760*Assumptions!$C$76</f>
        <v>368238353.8176</v>
      </c>
    </row>
    <row r="7" customFormat="false" ht="15" hidden="false" customHeight="false" outlineLevel="0" collapsed="false">
      <c r="B7" s="8" t="s">
        <v>114</v>
      </c>
      <c r="C7" s="33" t="n">
        <f aca="false">Assumptions!$C$47+Assumptions!$C$50+Assumptions!$C$51+IF(Assumptions!$C$66=1,MAX(Assumptions!$C$72,Assumptions!$C$75*720*Assumptions!$C$70+Assumptions!$C$75*720*C4*Assumptions!$C$71)*12,0)</f>
        <v>47519367.168</v>
      </c>
      <c r="D7" s="33" t="n">
        <f aca="false">Assumptions!$C$47+Assumptions!$C$50+Assumptions!$C$51+IF(Assumptions!$C$66=1,MAX(Assumptions!$C$72,Assumptions!$C$75*720*Assumptions!$C$70+Assumptions!$C$75*720*D4*Assumptions!$C$71)*12,0)</f>
        <v>50237276.16</v>
      </c>
      <c r="E7" s="33" t="n">
        <f aca="false">Assumptions!$C$47+Assumptions!$C$50+Assumptions!$C$51+IF(Assumptions!$C$66=1,MAX(Assumptions!$C$72,Assumptions!$C$75*720*Assumptions!$C$70+Assumptions!$C$75*720*E4*Assumptions!$C$71)*12,0)</f>
        <v>50237276.16</v>
      </c>
      <c r="F7" s="33" t="n">
        <f aca="false">Assumptions!$C$47+Assumptions!$C$50+Assumptions!$C$51+IF(Assumptions!$C$66=1,MAX(Assumptions!$C$72,Assumptions!$C$75*720*Assumptions!$C$70+Assumptions!$C$75*720*F4*Assumptions!$C$71)*12,0)</f>
        <v>50237276.16</v>
      </c>
      <c r="G7" s="33" t="n">
        <f aca="false">Assumptions!$C$47+Assumptions!$C$50+Assumptions!$C$51+IF(Assumptions!$C$66=1,MAX(Assumptions!$C$72,Assumptions!$C$75*720*Assumptions!$C$70+Assumptions!$C$75*720*G4*Assumptions!$C$71)*12,0)</f>
        <v>50237276.16</v>
      </c>
    </row>
    <row r="8" customFormat="false" ht="15" hidden="false" customHeight="false" outlineLevel="0" collapsed="false">
      <c r="B8" s="20" t="s">
        <v>115</v>
      </c>
      <c r="C8" s="41" t="n">
        <f aca="false">C6-C7</f>
        <v>314160709.632</v>
      </c>
      <c r="D8" s="41" t="n">
        <f aca="false">D6-D7</f>
        <v>379257815.04</v>
      </c>
      <c r="E8" s="41" t="n">
        <f aca="false">E6-E7</f>
        <v>357783060.48</v>
      </c>
      <c r="F8" s="41" t="n">
        <f aca="false">F6-F7</f>
        <v>337382043.648</v>
      </c>
      <c r="G8" s="41" t="n">
        <f aca="false">G6-G7</f>
        <v>318001077.6576</v>
      </c>
    </row>
    <row r="9" customFormat="false" ht="15" hidden="false" customHeight="false" outlineLevel="0" collapsed="false">
      <c r="B9" s="8" t="s">
        <v>116</v>
      </c>
      <c r="C9" s="33" t="n">
        <f aca="false">C6*Assumptions!$C$34</f>
        <v>28934406.144</v>
      </c>
      <c r="D9" s="33" t="n">
        <f aca="false">D6*Assumptions!$C$34</f>
        <v>34359607.296</v>
      </c>
      <c r="E9" s="33" t="n">
        <f aca="false">E6*Assumptions!$C$34</f>
        <v>32641626.9312</v>
      </c>
      <c r="F9" s="33" t="n">
        <f aca="false">F6*Assumptions!$C$34</f>
        <v>31009545.58464</v>
      </c>
      <c r="G9" s="33" t="n">
        <f aca="false">G6*Assumptions!$C$34</f>
        <v>29459068.305408</v>
      </c>
    </row>
    <row r="10" customFormat="false" ht="15" hidden="false" customHeight="false" outlineLevel="0" collapsed="false">
      <c r="B10" s="20" t="s">
        <v>117</v>
      </c>
      <c r="C10" s="41" t="n">
        <f aca="false">C8-C9</f>
        <v>285226303.488</v>
      </c>
      <c r="D10" s="41" t="n">
        <f aca="false">D8-D9</f>
        <v>344898207.744</v>
      </c>
      <c r="E10" s="41" t="n">
        <f aca="false">E8-E9</f>
        <v>325141433.5488</v>
      </c>
      <c r="F10" s="41" t="n">
        <f aca="false">F8-F9</f>
        <v>306372498.06336</v>
      </c>
      <c r="G10" s="41" t="n">
        <f aca="false">G8-G9</f>
        <v>288542009.352192</v>
      </c>
    </row>
    <row r="11" customFormat="false" ht="15" hidden="false" customHeight="false" outlineLevel="0" collapsed="false">
      <c r="B11" s="8" t="s">
        <v>118</v>
      </c>
      <c r="C11" s="33" t="n">
        <f aca="false">MIN(Assumptions!$C$53,Assumptions!$C$43*(1-Assumptions!$C$23))</f>
        <v>48660480</v>
      </c>
      <c r="D11" s="33" t="n">
        <f aca="false">MIN(Assumptions!$C$53,Assumptions!$C$43*(1-Assumptions!$C$23)-C11)</f>
        <v>48660480</v>
      </c>
      <c r="E11" s="33" t="n">
        <f aca="false">MIN(Assumptions!$C$53,Assumptions!$C$43*(1-Assumptions!$C$23)-C11-D11)</f>
        <v>48660480</v>
      </c>
      <c r="F11" s="33" t="n">
        <f aca="false">MIN(Assumptions!$C$53,Assumptions!$C$43*(1-Assumptions!$C$23)-C11-D11-E11)</f>
        <v>48660480</v>
      </c>
      <c r="G11" s="33" t="n">
        <f aca="false">MIN(Assumptions!$C$53,Assumptions!$C$43*(1-Assumptions!$C$23)-C11-D11-E11-F11)</f>
        <v>48660480</v>
      </c>
    </row>
    <row r="12" customFormat="false" ht="15" hidden="false" customHeight="false" outlineLevel="0" collapsed="false">
      <c r="B12" s="20" t="s">
        <v>119</v>
      </c>
      <c r="C12" s="41" t="n">
        <f aca="false">C10-C11</f>
        <v>236565823.488</v>
      </c>
      <c r="D12" s="41" t="n">
        <f aca="false">D10-D11</f>
        <v>296237727.744</v>
      </c>
      <c r="E12" s="41" t="n">
        <f aca="false">E10-E11</f>
        <v>276480953.5488</v>
      </c>
      <c r="F12" s="41" t="n">
        <f aca="false">F10-F11</f>
        <v>257712018.06336</v>
      </c>
      <c r="G12" s="41" t="n">
        <f aca="false">G10-G11</f>
        <v>239881529.352192</v>
      </c>
    </row>
    <row r="13" customFormat="false" ht="15" hidden="false" customHeight="false" outlineLevel="0" collapsed="false">
      <c r="B13" s="8" t="s">
        <v>120</v>
      </c>
      <c r="C13" s="33" t="n">
        <f aca="false">Balance_Sheet!B11*Assumptions!$C$18</f>
        <v>10813440</v>
      </c>
      <c r="D13" s="33" t="n">
        <f aca="false">Balance_Sheet!C11*Assumptions!$C$18</f>
        <v>8650752</v>
      </c>
      <c r="E13" s="33" t="n">
        <f aca="false">Balance_Sheet!D11*Assumptions!$C$18</f>
        <v>6488064</v>
      </c>
      <c r="F13" s="33" t="n">
        <f aca="false">Balance_Sheet!E11*Assumptions!$C$18</f>
        <v>4325376</v>
      </c>
      <c r="G13" s="33" t="n">
        <f aca="false">Balance_Sheet!F11*Assumptions!$C$18</f>
        <v>2162688</v>
      </c>
    </row>
    <row r="14" customFormat="false" ht="15" hidden="false" customHeight="false" outlineLevel="0" collapsed="false">
      <c r="B14" s="8" t="s">
        <v>121</v>
      </c>
      <c r="C14" s="17" t="n">
        <f aca="false">C12-C13</f>
        <v>225752383.488</v>
      </c>
      <c r="D14" s="17" t="n">
        <f aca="false">D12-D13</f>
        <v>287586975.744</v>
      </c>
      <c r="E14" s="17" t="n">
        <f aca="false">E12-E13</f>
        <v>269992889.5488</v>
      </c>
      <c r="F14" s="17" t="n">
        <f aca="false">F12-F13</f>
        <v>253386642.06336</v>
      </c>
      <c r="G14" s="17" t="n">
        <f aca="false">G12-G13</f>
        <v>237718841.352192</v>
      </c>
    </row>
    <row r="15" customFormat="false" ht="15" hidden="false" customHeight="false" outlineLevel="0" collapsed="false">
      <c r="B15" s="8" t="s">
        <v>122</v>
      </c>
      <c r="C15" s="33" t="n">
        <f aca="false">MAX(0,C14)*Assumptions!$C$35</f>
        <v>47408000.53248</v>
      </c>
      <c r="D15" s="33" t="n">
        <f aca="false">MAX(0,D14)*Assumptions!$C$35</f>
        <v>60393264.90624</v>
      </c>
      <c r="E15" s="33" t="n">
        <f aca="false">MAX(0,E14)*Assumptions!$C$35</f>
        <v>56698506.805248</v>
      </c>
      <c r="F15" s="33" t="n">
        <f aca="false">MAX(0,F14)*Assumptions!$C$35</f>
        <v>53211194.8333056</v>
      </c>
      <c r="G15" s="33" t="n">
        <f aca="false">MAX(0,G14)*Assumptions!$C$35</f>
        <v>49920956.6839603</v>
      </c>
    </row>
    <row r="16" customFormat="false" ht="15" hidden="false" customHeight="false" outlineLevel="0" collapsed="false">
      <c r="B16" s="20" t="s">
        <v>123</v>
      </c>
      <c r="C16" s="41" t="n">
        <f aca="false">C14-C15</f>
        <v>178344382.95552</v>
      </c>
      <c r="D16" s="41" t="n">
        <f aca="false">D14-D15</f>
        <v>227193710.83776</v>
      </c>
      <c r="E16" s="41" t="n">
        <f aca="false">E14-E15</f>
        <v>213294382.743552</v>
      </c>
      <c r="F16" s="41" t="n">
        <f aca="false">F14-F15</f>
        <v>200175447.230054</v>
      </c>
      <c r="G16" s="41" t="n">
        <f aca="false">G14-G15</f>
        <v>187797884.668232</v>
      </c>
    </row>
    <row r="17" customFormat="false" ht="15" hidden="false" customHeight="false" outlineLevel="0" collapsed="false">
      <c r="B17" s="42" t="s">
        <v>124</v>
      </c>
      <c r="C17" s="43" t="n">
        <f aca="false">IF(Assumptions!$C$66=1,MAX(Assumptions!$C$72,Assumptions!$C$75*720*Assumptions!$C$70+Assumptions!$C$75*720*C4*Assumptions!$C$71)*12,0)</f>
        <v>13702791.168</v>
      </c>
      <c r="D17" s="43" t="n">
        <f aca="false">IF(Assumptions!$C$66=1,MAX(Assumptions!$C$72,Assumptions!$C$75*720*Assumptions!$C$70+Assumptions!$C$75*720*D4*Assumptions!$C$71)*12,0)</f>
        <v>16420700.16</v>
      </c>
      <c r="E17" s="43" t="n">
        <f aca="false">IF(Assumptions!$C$66=1,MAX(Assumptions!$C$72,Assumptions!$C$75*720*Assumptions!$C$70+Assumptions!$C$75*720*E4*Assumptions!$C$71)*12,0)</f>
        <v>16420700.16</v>
      </c>
      <c r="F17" s="43" t="n">
        <f aca="false">IF(Assumptions!$C$66=1,MAX(Assumptions!$C$72,Assumptions!$C$75*720*Assumptions!$C$70+Assumptions!$C$75*720*F4*Assumptions!$C$71)*12,0)</f>
        <v>16420700.16</v>
      </c>
      <c r="G17" s="43" t="n">
        <f aca="false">IF(Assumptions!$C$66=1,MAX(Assumptions!$C$72,Assumptions!$C$75*720*Assumptions!$C$70+Assumptions!$C$75*720*G4*Assumptions!$C$71)*12,0)</f>
        <v>16420700.16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CFF"/>
    <pageSetUpPr fitToPage="false"/>
  </sheetPr>
  <dimension ref="B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1" t="s">
        <v>125</v>
      </c>
    </row>
    <row r="3" customFormat="false" ht="15" hidden="false" customHeight="false" outlineLevel="0" collapsed="false">
      <c r="B3" s="30" t="s">
        <v>126</v>
      </c>
      <c r="C3" s="30" t="s">
        <v>106</v>
      </c>
      <c r="D3" s="30" t="s">
        <v>107</v>
      </c>
      <c r="E3" s="30" t="s">
        <v>108</v>
      </c>
      <c r="F3" s="30" t="s">
        <v>109</v>
      </c>
      <c r="G3" s="30" t="s">
        <v>110</v>
      </c>
    </row>
    <row r="4" customFormat="false" ht="15" hidden="false" customHeight="false" outlineLevel="0" collapsed="false">
      <c r="B4" s="10"/>
      <c r="C4" s="10"/>
      <c r="D4" s="10"/>
      <c r="E4" s="10"/>
      <c r="F4" s="10"/>
      <c r="G4" s="10"/>
    </row>
    <row r="5" customFormat="false" ht="15" hidden="false" customHeight="false" outlineLevel="0" collapsed="false">
      <c r="B5" s="6" t="s">
        <v>127</v>
      </c>
      <c r="C5" s="7"/>
      <c r="D5" s="7"/>
      <c r="E5" s="7"/>
      <c r="F5" s="7"/>
      <c r="G5" s="7"/>
    </row>
    <row r="6" customFormat="false" ht="15" hidden="false" customHeight="false" outlineLevel="0" collapsed="false">
      <c r="B6" s="12" t="n">
        <v>0</v>
      </c>
      <c r="C6" s="17" t="n">
        <f aca="false">B6+Cash_Flow!C9</f>
        <v>199971262.95552</v>
      </c>
      <c r="D6" s="17" t="n">
        <f aca="false">C6+Cash_Flow!D9</f>
        <v>448791853.79328</v>
      </c>
      <c r="E6" s="17" t="n">
        <f aca="false">D6+Cash_Flow!E9</f>
        <v>683713116.536832</v>
      </c>
      <c r="F6" s="17" t="n">
        <f aca="false">E6+Cash_Flow!F9</f>
        <v>905515443.766887</v>
      </c>
      <c r="G6" s="17" t="n">
        <f aca="false">F6+Cash_Flow!G9</f>
        <v>1114940208.43512</v>
      </c>
    </row>
    <row r="7" customFormat="false" ht="15" hidden="false" customHeight="false" outlineLevel="0" collapsed="false">
      <c r="B7" s="33" t="n">
        <f aca="false">Assumptions!C43</f>
        <v>270336000</v>
      </c>
      <c r="C7" s="33" t="n">
        <f aca="false">B7-Income_Statement!C11</f>
        <v>221675520</v>
      </c>
      <c r="D7" s="33" t="n">
        <f aca="false">C7-Income_Statement!D11</f>
        <v>173015040</v>
      </c>
      <c r="E7" s="33" t="n">
        <f aca="false">D7-Income_Statement!E11</f>
        <v>124354560</v>
      </c>
      <c r="F7" s="33" t="n">
        <f aca="false">E7-Income_Statement!F11</f>
        <v>75694080</v>
      </c>
      <c r="G7" s="33" t="n">
        <f aca="false">F7-Income_Statement!G11</f>
        <v>27033600</v>
      </c>
    </row>
    <row r="8" customFormat="false" ht="15" hidden="false" customHeight="false" outlineLevel="0" collapsed="false">
      <c r="B8" s="41" t="n">
        <f aca="false">SUM(B6:B7)</f>
        <v>270336000</v>
      </c>
      <c r="C8" s="41" t="n">
        <f aca="false">SUM(C6:C7)</f>
        <v>421646782.95552</v>
      </c>
      <c r="D8" s="41" t="n">
        <f aca="false">SUM(D6:D7)</f>
        <v>621806893.79328</v>
      </c>
      <c r="E8" s="41" t="n">
        <f aca="false">SUM(E6:E7)</f>
        <v>808067676.536832</v>
      </c>
      <c r="F8" s="41" t="n">
        <f aca="false">SUM(F6:F7)</f>
        <v>981209523.766887</v>
      </c>
      <c r="G8" s="41" t="n">
        <f aca="false">SUM(G6:G7)</f>
        <v>1141973808.43512</v>
      </c>
    </row>
    <row r="9" customFormat="false" ht="15" hidden="false" customHeight="false" outlineLevel="0" collapsed="false"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B10" s="6" t="s">
        <v>128</v>
      </c>
      <c r="C10" s="7"/>
      <c r="D10" s="7"/>
      <c r="E10" s="7"/>
      <c r="F10" s="7"/>
      <c r="G10" s="7"/>
    </row>
    <row r="11" customFormat="false" ht="15" hidden="false" customHeight="false" outlineLevel="0" collapsed="false">
      <c r="B11" s="33" t="n">
        <f aca="false">Assumptions!C44</f>
        <v>135168000</v>
      </c>
      <c r="C11" s="33" t="n">
        <f aca="false">B11-IF(1&lt;=Assumptions!$C$19,Assumptions!$C$54,0)</f>
        <v>108134400</v>
      </c>
      <c r="D11" s="33" t="n">
        <f aca="false">C11-IF(2&lt;=Assumptions!$C$19,Assumptions!$C$54,0)</f>
        <v>81100800</v>
      </c>
      <c r="E11" s="33" t="n">
        <f aca="false">D11-IF(3&lt;=Assumptions!$C$19,Assumptions!$C$54,0)</f>
        <v>54067200</v>
      </c>
      <c r="F11" s="33" t="n">
        <f aca="false">E11-IF(4&lt;=Assumptions!$C$19,Assumptions!$C$54,0)</f>
        <v>27033600</v>
      </c>
      <c r="G11" s="33" t="n">
        <f aca="false">F11-IF(5&lt;=Assumptions!$C$19,Assumptions!$C$54,0)</f>
        <v>0</v>
      </c>
    </row>
    <row r="12" customFormat="false" ht="15" hidden="false" customHeight="false" outlineLevel="0" collapsed="false">
      <c r="B12" s="33" t="n">
        <f aca="false">Assumptions!C45</f>
        <v>135168000</v>
      </c>
      <c r="C12" s="33" t="n">
        <f aca="false">B12</f>
        <v>135168000</v>
      </c>
      <c r="D12" s="33" t="n">
        <f aca="false">C12</f>
        <v>135168000</v>
      </c>
      <c r="E12" s="33" t="n">
        <f aca="false">D12</f>
        <v>135168000</v>
      </c>
      <c r="F12" s="33" t="n">
        <f aca="false">E12</f>
        <v>135168000</v>
      </c>
      <c r="G12" s="33" t="n">
        <f aca="false">F12</f>
        <v>135168000</v>
      </c>
    </row>
    <row r="13" customFormat="false" ht="15" hidden="false" customHeight="false" outlineLevel="0" collapsed="false">
      <c r="B13" s="12" t="n">
        <v>0</v>
      </c>
      <c r="C13" s="33" t="n">
        <f aca="false">B13+Income_Statement!C16</f>
        <v>178344382.95552</v>
      </c>
      <c r="D13" s="33" t="n">
        <f aca="false">C13+Income_Statement!D16</f>
        <v>405538093.79328</v>
      </c>
      <c r="E13" s="33" t="n">
        <f aca="false">D13+Income_Statement!E16</f>
        <v>618832476.536832</v>
      </c>
      <c r="F13" s="33" t="n">
        <f aca="false">E13+Income_Statement!F16</f>
        <v>819007923.766887</v>
      </c>
      <c r="G13" s="33" t="n">
        <f aca="false">F13+Income_Statement!G16</f>
        <v>1006805808.43512</v>
      </c>
    </row>
    <row r="14" customFormat="false" ht="15" hidden="false" customHeight="false" outlineLevel="0" collapsed="false">
      <c r="B14" s="41" t="n">
        <f aca="false">SUM(B11:B13)</f>
        <v>270336000</v>
      </c>
      <c r="C14" s="41" t="n">
        <f aca="false">SUM(C11:C13)</f>
        <v>421646782.95552</v>
      </c>
      <c r="D14" s="41" t="n">
        <f aca="false">SUM(D11:D13)</f>
        <v>621806893.79328</v>
      </c>
      <c r="E14" s="41" t="n">
        <f aca="false">SUM(E11:E13)</f>
        <v>808067676.536832</v>
      </c>
      <c r="F14" s="41" t="n">
        <f aca="false">SUM(F11:F13)</f>
        <v>981209523.766887</v>
      </c>
      <c r="G14" s="41" t="n">
        <f aca="false">SUM(G11:G13)</f>
        <v>1141973808.43512</v>
      </c>
    </row>
    <row r="15" customFormat="false" ht="15" hidden="false" customHeight="false" outlineLevel="0" collapsed="false"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B16" s="35" t="n">
        <f aca="false">B8-B14</f>
        <v>0</v>
      </c>
      <c r="C16" s="35" t="n">
        <f aca="false">C8-C14</f>
        <v>0</v>
      </c>
      <c r="D16" s="35" t="n">
        <f aca="false">D8-D14</f>
        <v>0</v>
      </c>
      <c r="E16" s="35" t="n">
        <f aca="false">E8-E14</f>
        <v>0</v>
      </c>
      <c r="F16" s="35" t="n">
        <f aca="false">F8-F14</f>
        <v>0</v>
      </c>
      <c r="G16" s="35" t="n">
        <f aca="false">G8-G14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CFF"/>
    <pageSetUpPr fitToPage="false"/>
  </sheetPr>
  <dimension ref="B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1" t="s">
        <v>129</v>
      </c>
    </row>
    <row r="3" customFormat="false" ht="15" hidden="false" customHeight="false" outlineLevel="0" collapsed="false">
      <c r="B3" s="10"/>
      <c r="C3" s="30" t="s">
        <v>106</v>
      </c>
      <c r="D3" s="30" t="s">
        <v>107</v>
      </c>
      <c r="E3" s="30" t="s">
        <v>108</v>
      </c>
      <c r="F3" s="30" t="s">
        <v>109</v>
      </c>
      <c r="G3" s="30" t="s">
        <v>110</v>
      </c>
    </row>
    <row r="4" customFormat="false" ht="15" hidden="false" customHeight="false" outlineLevel="0" collapsed="false">
      <c r="B4" s="8" t="s">
        <v>123</v>
      </c>
      <c r="C4" s="33" t="n">
        <f aca="false">Income_Statement!C16</f>
        <v>178344382.95552</v>
      </c>
      <c r="D4" s="33" t="n">
        <f aca="false">Income_Statement!D16</f>
        <v>227193710.83776</v>
      </c>
      <c r="E4" s="33" t="n">
        <f aca="false">Income_Statement!E16</f>
        <v>213294382.743552</v>
      </c>
      <c r="F4" s="33" t="n">
        <f aca="false">Income_Statement!F16</f>
        <v>200175447.230054</v>
      </c>
      <c r="G4" s="33" t="n">
        <f aca="false">Income_Statement!G16</f>
        <v>187797884.668232</v>
      </c>
    </row>
    <row r="5" customFormat="false" ht="15" hidden="false" customHeight="false" outlineLevel="0" collapsed="false">
      <c r="B5" s="8" t="s">
        <v>130</v>
      </c>
      <c r="C5" s="33" t="n">
        <f aca="false">Income_Statement!C11</f>
        <v>48660480</v>
      </c>
      <c r="D5" s="33" t="n">
        <f aca="false">Income_Statement!D11</f>
        <v>48660480</v>
      </c>
      <c r="E5" s="33" t="n">
        <f aca="false">Income_Statement!E11</f>
        <v>48660480</v>
      </c>
      <c r="F5" s="33" t="n">
        <f aca="false">Income_Statement!F11</f>
        <v>48660480</v>
      </c>
      <c r="G5" s="33" t="n">
        <f aca="false">Income_Statement!G11</f>
        <v>48660480</v>
      </c>
    </row>
    <row r="6" customFormat="false" ht="15" hidden="false" customHeight="false" outlineLevel="0" collapsed="false">
      <c r="B6" s="20" t="s">
        <v>131</v>
      </c>
      <c r="C6" s="41" t="n">
        <f aca="false">C4+C5</f>
        <v>227004862.95552</v>
      </c>
      <c r="D6" s="41" t="n">
        <f aca="false">D4+D5</f>
        <v>275854190.83776</v>
      </c>
      <c r="E6" s="41" t="n">
        <f aca="false">E4+E5</f>
        <v>261954862.743552</v>
      </c>
      <c r="F6" s="41" t="n">
        <f aca="false">F4+F5</f>
        <v>248835927.230054</v>
      </c>
      <c r="G6" s="41" t="n">
        <f aca="false">G4+G5</f>
        <v>236458364.668232</v>
      </c>
    </row>
    <row r="7" customFormat="false" ht="15" hidden="false" customHeight="false" outlineLevel="0" collapsed="false">
      <c r="B7" s="8" t="s">
        <v>132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</row>
    <row r="8" customFormat="false" ht="15" hidden="false" customHeight="false" outlineLevel="0" collapsed="false">
      <c r="B8" s="8" t="s">
        <v>133</v>
      </c>
      <c r="C8" s="33" t="n">
        <f aca="false">-IF(1&lt;=Assumptions!$C$19,Assumptions!$C$54,0)</f>
        <v>-27033600</v>
      </c>
      <c r="D8" s="33" t="n">
        <f aca="false">-IF(2&lt;=Assumptions!$C$19,Assumptions!$C$54,0)</f>
        <v>-27033600</v>
      </c>
      <c r="E8" s="33" t="n">
        <f aca="false">-IF(3&lt;=Assumptions!$C$19,Assumptions!$C$54,0)</f>
        <v>-27033600</v>
      </c>
      <c r="F8" s="33" t="n">
        <f aca="false">-IF(4&lt;=Assumptions!$C$19,Assumptions!$C$54,0)</f>
        <v>-27033600</v>
      </c>
      <c r="G8" s="33" t="n">
        <f aca="false">-IF(5&lt;=Assumptions!$C$19,Assumptions!$C$54,0)</f>
        <v>-27033600</v>
      </c>
    </row>
    <row r="9" customFormat="false" ht="15" hidden="false" customHeight="false" outlineLevel="0" collapsed="false">
      <c r="B9" s="20" t="s">
        <v>134</v>
      </c>
      <c r="C9" s="41" t="n">
        <f aca="false">C6+C7+C8</f>
        <v>199971262.95552</v>
      </c>
      <c r="D9" s="41" t="n">
        <f aca="false">D6+D7+D8</f>
        <v>248820590.83776</v>
      </c>
      <c r="E9" s="41" t="n">
        <f aca="false">E6+E7+E8</f>
        <v>234921262.743552</v>
      </c>
      <c r="F9" s="41" t="n">
        <f aca="false">F6+F7+F8</f>
        <v>221802327.230054</v>
      </c>
      <c r="G9" s="41" t="n">
        <f aca="false">G6+G7+G8</f>
        <v>209424764.668232</v>
      </c>
    </row>
    <row r="10" customFormat="false" ht="15" hidden="false" customHeight="false" outlineLevel="0" collapsed="false">
      <c r="B10" s="8" t="s">
        <v>135</v>
      </c>
      <c r="C10" s="33" t="n">
        <f aca="false">Balance_Sheet!C6</f>
        <v>199971262.95552</v>
      </c>
      <c r="D10" s="33" t="n">
        <f aca="false">Balance_Sheet!D6</f>
        <v>448791853.79328</v>
      </c>
      <c r="E10" s="33" t="n">
        <f aca="false">Balance_Sheet!E6</f>
        <v>683713116.536832</v>
      </c>
      <c r="F10" s="33" t="n">
        <f aca="false">Balance_Sheet!F6</f>
        <v>905515443.766887</v>
      </c>
      <c r="G10" s="33" t="n">
        <f aca="false">Balance_Sheet!G6</f>
        <v>1114940208.43512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54"/>
    <pageSetUpPr fitToPage="false"/>
  </sheetPr>
  <dimension ref="B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1" t="s">
        <v>136</v>
      </c>
    </row>
    <row r="3" customFormat="false" ht="15" hidden="false" customHeight="false" outlineLevel="0" collapsed="false">
      <c r="B3" s="30" t="s">
        <v>126</v>
      </c>
      <c r="C3" s="30" t="s">
        <v>106</v>
      </c>
      <c r="D3" s="30" t="s">
        <v>107</v>
      </c>
      <c r="E3" s="30" t="s">
        <v>108</v>
      </c>
      <c r="F3" s="30" t="s">
        <v>109</v>
      </c>
      <c r="G3" s="30" t="s">
        <v>110</v>
      </c>
    </row>
    <row r="4" customFormat="false" ht="15" hidden="false" customHeight="false" outlineLevel="0" collapsed="false">
      <c r="B4" s="33" t="n">
        <f aca="false">-Assumptions!C43</f>
        <v>-270336000</v>
      </c>
      <c r="C4" s="33" t="n">
        <f aca="false">Income_Statement!C12*(1-Assumptions!$C$35)+Income_Statement!C11-Cash_Flow!C7</f>
        <v>235547480.55552</v>
      </c>
      <c r="D4" s="33" t="n">
        <f aca="false">Income_Statement!D12*(1-Assumptions!$C$35)+Income_Statement!D11-Cash_Flow!D7</f>
        <v>282688284.91776</v>
      </c>
      <c r="E4" s="33" t="n">
        <f aca="false">Income_Statement!E12*(1-Assumptions!$C$35)+Income_Statement!E11-Cash_Flow!E7</f>
        <v>267080433.303552</v>
      </c>
      <c r="F4" s="33" t="n">
        <f aca="false">Income_Statement!F12*(1-Assumptions!$C$35)+Income_Statement!F11-Cash_Flow!F7</f>
        <v>252252974.270054</v>
      </c>
      <c r="G4" s="33" t="n">
        <f aca="false">Income_Statement!G12*(1-Assumptions!$C$35)+Income_Statement!G11-Cash_Flow!G7+Assumptions!$C$43*Assumptions!$C$23</f>
        <v>265200488.188232</v>
      </c>
    </row>
    <row r="5" customFormat="false" ht="15" hidden="false" customHeight="false" outlineLevel="0" collapsed="false">
      <c r="B5" s="33" t="n">
        <f aca="false">-Assumptions!C45</f>
        <v>-135168000</v>
      </c>
      <c r="C5" s="33" t="n">
        <f aca="false">Income_Statement!C16+Income_Statement!C11+Cash_Flow!C8</f>
        <v>199971262.95552</v>
      </c>
      <c r="D5" s="33" t="n">
        <f aca="false">Income_Statement!D16+Income_Statement!D11+Cash_Flow!D8</f>
        <v>248820590.83776</v>
      </c>
      <c r="E5" s="33" t="n">
        <f aca="false">Income_Statement!E16+Income_Statement!E11+Cash_Flow!E8</f>
        <v>234921262.743552</v>
      </c>
      <c r="F5" s="33" t="n">
        <f aca="false">Income_Statement!F16+Income_Statement!F11+Cash_Flow!F8</f>
        <v>221802327.230054</v>
      </c>
      <c r="G5" s="33" t="n">
        <f aca="false">Income_Statement!G16+Income_Statement!G11+Cash_Flow!G8+Assumptions!$C$43*Assumptions!$C$23-Balance_Sheet!G11</f>
        <v>236458364.668232</v>
      </c>
    </row>
    <row r="6" customFormat="false" ht="15" hidden="false" customHeight="false" outlineLevel="0" collapsed="false">
      <c r="B6" s="10"/>
      <c r="C6" s="10"/>
      <c r="D6" s="10"/>
      <c r="E6" s="10"/>
      <c r="F6" s="10"/>
      <c r="G6" s="10"/>
    </row>
    <row r="7" customFormat="false" ht="15" hidden="false" customHeight="false" outlineLevel="0" collapsed="false">
      <c r="B7" s="17" t="n">
        <f aca="false">SUM($B$4:B4)</f>
        <v>-270336000</v>
      </c>
      <c r="C7" s="17" t="n">
        <f aca="false">SUM($B$4:C4)</f>
        <v>-34788519.4444799</v>
      </c>
      <c r="D7" s="17" t="n">
        <f aca="false">SUM($B$4:D4)</f>
        <v>247899765.47328</v>
      </c>
      <c r="E7" s="17" t="n">
        <f aca="false">SUM($B$4:E4)</f>
        <v>514980198.776832</v>
      </c>
      <c r="F7" s="17" t="n">
        <f aca="false">SUM($B$4:F4)</f>
        <v>767233173.046886</v>
      </c>
      <c r="G7" s="17" t="n">
        <f aca="false">SUM($B$4:G4)</f>
        <v>1032433661.23512</v>
      </c>
    </row>
    <row r="8" customFormat="false" ht="15" hidden="false" customHeight="false" outlineLevel="0" collapsed="false">
      <c r="B8" s="17" t="n">
        <f aca="false">SUM($B$5:B5)</f>
        <v>-135168000</v>
      </c>
      <c r="C8" s="17" t="n">
        <f aca="false">SUM($B$5:C5)</f>
        <v>64803262.9555201</v>
      </c>
      <c r="D8" s="17" t="n">
        <f aca="false">SUM($B$5:D5)</f>
        <v>313623853.79328</v>
      </c>
      <c r="E8" s="17" t="n">
        <f aca="false">SUM($B$5:E5)</f>
        <v>548545116.536832</v>
      </c>
      <c r="F8" s="17" t="n">
        <f aca="false">SUM($B$5:F5)</f>
        <v>770347443.766886</v>
      </c>
      <c r="G8" s="17" t="n">
        <f aca="false">SUM($B$5:G5)</f>
        <v>1006805808.43512</v>
      </c>
    </row>
    <row r="9" customFormat="false" ht="15" hidden="false" customHeight="false" outlineLevel="0" collapsed="false"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B10" s="20" t="s">
        <v>137</v>
      </c>
      <c r="C10" s="37" t="n">
        <f aca="false">IFERROR(IRR(B4:G4),"n/a")</f>
        <v>0.903422592741084</v>
      </c>
      <c r="D10" s="10"/>
      <c r="E10" s="10"/>
      <c r="F10" s="10"/>
      <c r="G10" s="10"/>
    </row>
    <row r="11" customFormat="false" ht="15" hidden="false" customHeight="false" outlineLevel="0" collapsed="false">
      <c r="B11" s="20" t="s">
        <v>138</v>
      </c>
      <c r="C11" s="37" t="n">
        <f aca="false">IFERROR(IRR(B5:G5),"n/a")</f>
        <v>1.58549316586025</v>
      </c>
      <c r="D11" s="10"/>
      <c r="E11" s="10"/>
      <c r="F11" s="10"/>
      <c r="G11" s="10"/>
    </row>
    <row r="12" customFormat="false" ht="15" hidden="false" customHeight="false" outlineLevel="0" collapsed="false">
      <c r="B12" s="20" t="s">
        <v>139</v>
      </c>
      <c r="C12" s="35" t="n">
        <f aca="false">B4+NPV(Assumptions!C39,C4:G4)</f>
        <v>666227402.118446</v>
      </c>
      <c r="D12" s="10"/>
      <c r="E12" s="10"/>
      <c r="F12" s="10"/>
      <c r="G12" s="10"/>
    </row>
    <row r="13" customFormat="false" ht="15" hidden="false" customHeight="false" outlineLevel="0" collapsed="false">
      <c r="B13" s="20" t="s">
        <v>140</v>
      </c>
      <c r="C13" s="35" t="n">
        <f aca="false">B5+NPV(Assumptions!C40,C5:G5)</f>
        <v>573739882.613823</v>
      </c>
      <c r="D13" s="10"/>
      <c r="E13" s="10"/>
      <c r="F13" s="10"/>
      <c r="G13" s="10"/>
    </row>
    <row r="14" customFormat="false" ht="15" hidden="false" customHeight="false" outlineLevel="0" collapsed="false">
      <c r="B14" s="8" t="s">
        <v>141</v>
      </c>
      <c r="C14" s="21" t="n">
        <f aca="false">Assumptions!C43*Assumptions!C23</f>
        <v>27033600</v>
      </c>
      <c r="D14" s="10"/>
      <c r="E14" s="10"/>
      <c r="F14" s="10"/>
      <c r="G14" s="10"/>
    </row>
    <row r="15" customFormat="false" ht="15" hidden="false" customHeight="false" outlineLevel="0" collapsed="false">
      <c r="B15" s="20" t="s">
        <v>142</v>
      </c>
      <c r="C15" s="20" t="n">
        <f aca="false">IFERROR(MATCH(1,INDEX((C7:G7&gt;=0)*1,0),0),"Beyond horizon")</f>
        <v>2</v>
      </c>
      <c r="D15" s="10"/>
      <c r="E15" s="10"/>
      <c r="F15" s="10"/>
      <c r="G1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7BFF"/>
    <pageSetUpPr fitToPage="false"/>
  </sheetPr>
  <dimension ref="B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1" t="s">
        <v>143</v>
      </c>
    </row>
    <row r="2" customFormat="false" ht="27.75" hidden="false" customHeight="true" outlineLevel="0" collapsed="false">
      <c r="B2" s="44" t="s">
        <v>144</v>
      </c>
    </row>
    <row r="3" customFormat="false" ht="15" hidden="false" customHeight="false" outlineLevel="0" collapsed="false">
      <c r="B3" s="10"/>
      <c r="C3" s="30" t="s">
        <v>106</v>
      </c>
      <c r="D3" s="30" t="s">
        <v>107</v>
      </c>
      <c r="E3" s="30" t="s">
        <v>108</v>
      </c>
      <c r="F3" s="30" t="s">
        <v>109</v>
      </c>
      <c r="G3" s="30" t="s">
        <v>110</v>
      </c>
    </row>
    <row r="4" customFormat="false" ht="15" hidden="false" customHeight="false" outlineLevel="0" collapsed="false">
      <c r="B4" s="6" t="s">
        <v>145</v>
      </c>
      <c r="C4" s="7"/>
      <c r="D4" s="7"/>
      <c r="E4" s="7"/>
      <c r="F4" s="7"/>
      <c r="G4" s="7"/>
    </row>
    <row r="5" customFormat="false" ht="15" hidden="false" customHeight="false" outlineLevel="0" collapsed="false">
      <c r="B5" s="8" t="s">
        <v>146</v>
      </c>
      <c r="C5" s="40" t="n">
        <f aca="false">Assumptions!$C$27*Assumptions!$C$28</f>
        <v>0.64</v>
      </c>
      <c r="D5" s="40" t="n">
        <f aca="false">Assumptions!$C$27</f>
        <v>0.8</v>
      </c>
      <c r="E5" s="40" t="n">
        <f aca="false">Assumptions!$C$27</f>
        <v>0.8</v>
      </c>
      <c r="F5" s="40" t="n">
        <f aca="false">Assumptions!$C$27</f>
        <v>0.8</v>
      </c>
      <c r="G5" s="40" t="n">
        <f aca="false">Assumptions!$C$27</f>
        <v>0.8</v>
      </c>
    </row>
    <row r="6" customFormat="false" ht="15" hidden="false" customHeight="false" outlineLevel="0" collapsed="false">
      <c r="B6" s="8" t="s">
        <v>147</v>
      </c>
      <c r="C6" s="36" t="n">
        <f aca="false">Assumptions!$C$26</f>
        <v>2.5</v>
      </c>
      <c r="D6" s="36" t="n">
        <f aca="false">C6*(1-Assumptions!$C$29)</f>
        <v>2.375</v>
      </c>
      <c r="E6" s="36" t="n">
        <f aca="false">D6*(1-Assumptions!$C$29)</f>
        <v>2.25625</v>
      </c>
      <c r="F6" s="36" t="n">
        <f aca="false">E6*(1-Assumptions!$C$29)</f>
        <v>2.1434375</v>
      </c>
      <c r="G6" s="36" t="n">
        <f aca="false">F6*(1-Assumptions!$C$29)</f>
        <v>2.036265625</v>
      </c>
    </row>
    <row r="7" customFormat="false" ht="15" hidden="false" customHeight="false" outlineLevel="0" collapsed="false">
      <c r="B7" s="8" t="s">
        <v>113</v>
      </c>
      <c r="C7" s="17" t="n">
        <f aca="false">C5*C6*Assumptions!$C$6*8760</f>
        <v>114819072</v>
      </c>
      <c r="D7" s="17" t="n">
        <f aca="false">D5*D6*Assumptions!$C$6*8760</f>
        <v>136347648</v>
      </c>
      <c r="E7" s="17" t="n">
        <f aca="false">E5*E6*Assumptions!$C$6*8760</f>
        <v>129530265.6</v>
      </c>
      <c r="F7" s="17" t="n">
        <f aca="false">F5*F6*Assumptions!$C$6*8760</f>
        <v>123053752.32</v>
      </c>
      <c r="G7" s="17" t="n">
        <f aca="false">G5*G6*Assumptions!$C$6*8760</f>
        <v>116901064.704</v>
      </c>
    </row>
    <row r="8" customFormat="false" ht="15" hidden="false" customHeight="false" outlineLevel="0" collapsed="false">
      <c r="B8" s="8" t="s">
        <v>148</v>
      </c>
      <c r="C8" s="33" t="n">
        <f aca="false">Assumptions!$C$47+Assumptions!$C$50+Assumptions!$C$51</f>
        <v>33816576</v>
      </c>
      <c r="D8" s="33" t="n">
        <f aca="false">Assumptions!$C$47+Assumptions!$C$50+Assumptions!$C$51</f>
        <v>33816576</v>
      </c>
      <c r="E8" s="33" t="n">
        <f aca="false">Assumptions!$C$47+Assumptions!$C$50+Assumptions!$C$51</f>
        <v>33816576</v>
      </c>
      <c r="F8" s="33" t="n">
        <f aca="false">Assumptions!$C$47+Assumptions!$C$50+Assumptions!$C$51</f>
        <v>33816576</v>
      </c>
      <c r="G8" s="33" t="n">
        <f aca="false">Assumptions!$C$47+Assumptions!$C$50+Assumptions!$C$51</f>
        <v>33816576</v>
      </c>
    </row>
    <row r="9" customFormat="false" ht="15" hidden="false" customHeight="false" outlineLevel="0" collapsed="false">
      <c r="B9" s="20" t="s">
        <v>115</v>
      </c>
      <c r="C9" s="41" t="n">
        <f aca="false">C7-C8</f>
        <v>81002496</v>
      </c>
      <c r="D9" s="41" t="n">
        <f aca="false">D7-D8</f>
        <v>102531072</v>
      </c>
      <c r="E9" s="41" t="n">
        <f aca="false">E7-E8</f>
        <v>95713689.6</v>
      </c>
      <c r="F9" s="41" t="n">
        <f aca="false">F7-F8</f>
        <v>89237176.32</v>
      </c>
      <c r="G9" s="41" t="n">
        <f aca="false">G7-G8</f>
        <v>83084488.704</v>
      </c>
    </row>
    <row r="10" customFormat="false" ht="15" hidden="false" customHeight="false" outlineLevel="0" collapsed="false">
      <c r="B10" s="8" t="s">
        <v>116</v>
      </c>
      <c r="C10" s="33" t="n">
        <f aca="false">C7*Assumptions!$C$34</f>
        <v>9185525.76</v>
      </c>
      <c r="D10" s="33" t="n">
        <f aca="false">D7*Assumptions!$C$34</f>
        <v>10907811.84</v>
      </c>
      <c r="E10" s="33" t="n">
        <f aca="false">E7*Assumptions!$C$34</f>
        <v>10362421.248</v>
      </c>
      <c r="F10" s="33" t="n">
        <f aca="false">F7*Assumptions!$C$34</f>
        <v>9844300.1856</v>
      </c>
      <c r="G10" s="33" t="n">
        <f aca="false">G7*Assumptions!$C$34</f>
        <v>9352085.17632</v>
      </c>
    </row>
    <row r="11" customFormat="false" ht="15" hidden="false" customHeight="false" outlineLevel="0" collapsed="false">
      <c r="B11" s="20" t="s">
        <v>117</v>
      </c>
      <c r="C11" s="41" t="n">
        <f aca="false">C9-C10</f>
        <v>71816970.24</v>
      </c>
      <c r="D11" s="41" t="n">
        <f aca="false">D9-D10</f>
        <v>91623260.16</v>
      </c>
      <c r="E11" s="41" t="n">
        <f aca="false">E9-E10</f>
        <v>85351268.352</v>
      </c>
      <c r="F11" s="41" t="n">
        <f aca="false">F9-F10</f>
        <v>79392876.1344</v>
      </c>
      <c r="G11" s="41" t="n">
        <f aca="false">G9-G10</f>
        <v>73732403.52768</v>
      </c>
    </row>
    <row r="12" customFormat="false" ht="15" hidden="false" customHeight="false" outlineLevel="0" collapsed="false">
      <c r="B12" s="42" t="s">
        <v>149</v>
      </c>
      <c r="C12" s="43" t="n">
        <f aca="false">Income_Statement!C11</f>
        <v>48660480</v>
      </c>
      <c r="D12" s="43" t="n">
        <f aca="false">Income_Statement!D11</f>
        <v>48660480</v>
      </c>
      <c r="E12" s="43" t="n">
        <f aca="false">Income_Statement!E11</f>
        <v>48660480</v>
      </c>
      <c r="F12" s="43" t="n">
        <f aca="false">Income_Statement!F11</f>
        <v>48660480</v>
      </c>
      <c r="G12" s="43" t="n">
        <f aca="false">Income_Statement!G11</f>
        <v>48660480</v>
      </c>
    </row>
    <row r="13" customFormat="false" ht="15" hidden="false" customHeight="false" outlineLevel="0" collapsed="false">
      <c r="B13" s="20" t="s">
        <v>119</v>
      </c>
      <c r="C13" s="41" t="n">
        <f aca="false">C11-C12</f>
        <v>23156490.24</v>
      </c>
      <c r="D13" s="41" t="n">
        <f aca="false">D11-D12</f>
        <v>42962780.16</v>
      </c>
      <c r="E13" s="41" t="n">
        <f aca="false">E11-E12</f>
        <v>36690788.352</v>
      </c>
      <c r="F13" s="41" t="n">
        <f aca="false">F11-F12</f>
        <v>30732396.1344</v>
      </c>
      <c r="G13" s="41" t="n">
        <f aca="false">G11-G12</f>
        <v>25071923.52768</v>
      </c>
    </row>
    <row r="14" customFormat="false" ht="15" hidden="false" customHeight="false" outlineLevel="0" collapsed="false">
      <c r="B14" s="42" t="s">
        <v>150</v>
      </c>
      <c r="C14" s="43" t="n">
        <f aca="false">Income_Statement!C13</f>
        <v>10813440</v>
      </c>
      <c r="D14" s="43" t="n">
        <f aca="false">Income_Statement!D13</f>
        <v>8650752</v>
      </c>
      <c r="E14" s="43" t="n">
        <f aca="false">Income_Statement!E13</f>
        <v>6488064</v>
      </c>
      <c r="F14" s="43" t="n">
        <f aca="false">Income_Statement!F13</f>
        <v>4325376</v>
      </c>
      <c r="G14" s="43" t="n">
        <f aca="false">Income_Statement!G13</f>
        <v>2162688</v>
      </c>
    </row>
    <row r="15" customFormat="false" ht="15" hidden="false" customHeight="false" outlineLevel="0" collapsed="false">
      <c r="B15" s="8" t="s">
        <v>121</v>
      </c>
      <c r="C15" s="17" t="n">
        <f aca="false">C13-C14</f>
        <v>12343050.24</v>
      </c>
      <c r="D15" s="17" t="n">
        <f aca="false">D13-D14</f>
        <v>34312028.16</v>
      </c>
      <c r="E15" s="17" t="n">
        <f aca="false">E13-E14</f>
        <v>30202724.352</v>
      </c>
      <c r="F15" s="17" t="n">
        <f aca="false">F13-F14</f>
        <v>26407020.1344</v>
      </c>
      <c r="G15" s="17" t="n">
        <f aca="false">G13-G14</f>
        <v>22909235.52768</v>
      </c>
    </row>
    <row r="16" customFormat="false" ht="15" hidden="false" customHeight="false" outlineLevel="0" collapsed="false">
      <c r="B16" s="8" t="s">
        <v>122</v>
      </c>
      <c r="C16" s="33" t="n">
        <f aca="false">MAX(0,C15)*Assumptions!$C$35</f>
        <v>2592040.5504</v>
      </c>
      <c r="D16" s="33" t="n">
        <f aca="false">MAX(0,D15)*Assumptions!$C$35</f>
        <v>7205525.9136</v>
      </c>
      <c r="E16" s="33" t="n">
        <f aca="false">MAX(0,E15)*Assumptions!$C$35</f>
        <v>6342572.11392</v>
      </c>
      <c r="F16" s="33" t="n">
        <f aca="false">MAX(0,F15)*Assumptions!$C$35</f>
        <v>5545474.22822401</v>
      </c>
      <c r="G16" s="33" t="n">
        <f aca="false">MAX(0,G15)*Assumptions!$C$35</f>
        <v>4810939.4608128</v>
      </c>
    </row>
    <row r="17" customFormat="false" ht="15" hidden="false" customHeight="false" outlineLevel="0" collapsed="false">
      <c r="B17" s="20" t="s">
        <v>123</v>
      </c>
      <c r="C17" s="41" t="n">
        <f aca="false">C15-C16</f>
        <v>9751009.68960001</v>
      </c>
      <c r="D17" s="41" t="n">
        <f aca="false">D15-D16</f>
        <v>27106502.2464</v>
      </c>
      <c r="E17" s="41" t="n">
        <f aca="false">E15-E16</f>
        <v>23860152.23808</v>
      </c>
      <c r="F17" s="41" t="n">
        <f aca="false">F15-F16</f>
        <v>20861545.906176</v>
      </c>
      <c r="G17" s="41" t="n">
        <f aca="false">G15-G16</f>
        <v>18098296.0668672</v>
      </c>
    </row>
    <row r="18" customFormat="false" ht="15" hidden="false" customHeight="false" outlineLevel="0" collapsed="false"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B19" s="6" t="s">
        <v>151</v>
      </c>
      <c r="C19" s="7"/>
      <c r="D19" s="7"/>
      <c r="E19" s="7"/>
      <c r="F19" s="7"/>
      <c r="G19" s="7"/>
    </row>
    <row r="20" customFormat="false" ht="15" hidden="false" customHeight="false" outlineLevel="0" collapsed="false">
      <c r="B20" s="8" t="s">
        <v>152</v>
      </c>
      <c r="C20" s="40" t="n">
        <f aca="false">Assumptions!$C$27*Assumptions!$C$28</f>
        <v>0.64</v>
      </c>
      <c r="D20" s="40" t="n">
        <f aca="false">Assumptions!$C$27</f>
        <v>0.8</v>
      </c>
      <c r="E20" s="40" t="n">
        <f aca="false">Assumptions!$C$27</f>
        <v>0.8</v>
      </c>
      <c r="F20" s="40" t="n">
        <f aca="false">Assumptions!$C$27</f>
        <v>0.8</v>
      </c>
      <c r="G20" s="40" t="n">
        <f aca="false">Assumptions!$C$27</f>
        <v>0.8</v>
      </c>
    </row>
    <row r="21" customFormat="false" ht="15" hidden="false" customHeight="false" outlineLevel="0" collapsed="false">
      <c r="B21" s="8" t="s">
        <v>112</v>
      </c>
      <c r="C21" s="36" t="n">
        <f aca="false">Assumptions!$C$26*(1+Assumptions!$C$69)</f>
        <v>2.625</v>
      </c>
      <c r="D21" s="36" t="n">
        <f aca="false">C21*(1-Assumptions!$C$29)</f>
        <v>2.49375</v>
      </c>
      <c r="E21" s="36" t="n">
        <f aca="false">D21*(1-Assumptions!$C$29)</f>
        <v>2.3690625</v>
      </c>
      <c r="F21" s="36" t="n">
        <f aca="false">E21*(1-Assumptions!$C$29)</f>
        <v>2.250609375</v>
      </c>
      <c r="G21" s="36" t="n">
        <f aca="false">F21*(1-Assumptions!$C$29)</f>
        <v>2.13807890625</v>
      </c>
    </row>
    <row r="22" customFormat="false" ht="15" hidden="false" customHeight="false" outlineLevel="0" collapsed="false">
      <c r="B22" s="8" t="s">
        <v>153</v>
      </c>
      <c r="C22" s="17" t="n">
        <f aca="false">C20*C21*Assumptions!$C$6*8760*Assumptions!$C$68</f>
        <v>361680076.8</v>
      </c>
      <c r="D22" s="17" t="n">
        <f aca="false">D20*D21*Assumptions!$C$6*8760*Assumptions!$C$68</f>
        <v>429495091.2</v>
      </c>
      <c r="E22" s="17" t="n">
        <f aca="false">E20*E21*Assumptions!$C$6*8760*Assumptions!$C$68</f>
        <v>408020336.64</v>
      </c>
      <c r="F22" s="17" t="n">
        <f aca="false">F20*F21*Assumptions!$C$6*8760*Assumptions!$C$68</f>
        <v>387619319.808</v>
      </c>
      <c r="G22" s="17" t="n">
        <f aca="false">G20*G21*Assumptions!$C$6*8760*Assumptions!$C$68</f>
        <v>368238353.8176</v>
      </c>
    </row>
    <row r="23" customFormat="false" ht="15" hidden="false" customHeight="false" outlineLevel="0" collapsed="false">
      <c r="B23" s="8" t="s">
        <v>114</v>
      </c>
      <c r="C23" s="33" t="n">
        <f aca="false">Assumptions!$C$47+Assumptions!$C$50+Assumptions!$C$51+IF(TRUE(),MAX(Assumptions!$C$72,Assumptions!$C$75*720*Assumptions!$C$70+Assumptions!$C$75*720*C20*Assumptions!$C$71)*12,0)</f>
        <v>47519367.168</v>
      </c>
      <c r="D23" s="33" t="n">
        <f aca="false">Assumptions!$C$47+Assumptions!$C$50+Assumptions!$C$51+IF(TRUE(),MAX(Assumptions!$C$72,Assumptions!$C$75*720*Assumptions!$C$70+Assumptions!$C$75*720*D20*Assumptions!$C$71)*12,0)</f>
        <v>50237276.16</v>
      </c>
      <c r="E23" s="33" t="n">
        <f aca="false">Assumptions!$C$47+Assumptions!$C$50+Assumptions!$C$51+IF(TRUE(),MAX(Assumptions!$C$72,Assumptions!$C$75*720*Assumptions!$C$70+Assumptions!$C$75*720*E20*Assumptions!$C$71)*12,0)</f>
        <v>50237276.16</v>
      </c>
      <c r="F23" s="33" t="n">
        <f aca="false">Assumptions!$C$47+Assumptions!$C$50+Assumptions!$C$51+IF(TRUE(),MAX(Assumptions!$C$72,Assumptions!$C$75*720*Assumptions!$C$70+Assumptions!$C$75*720*F20*Assumptions!$C$71)*12,0)</f>
        <v>50237276.16</v>
      </c>
      <c r="G23" s="33" t="n">
        <f aca="false">Assumptions!$C$47+Assumptions!$C$50+Assumptions!$C$51+IF(TRUE(),MAX(Assumptions!$C$72,Assumptions!$C$75*720*Assumptions!$C$70+Assumptions!$C$75*720*G20*Assumptions!$C$71)*12,0)</f>
        <v>50237276.16</v>
      </c>
    </row>
    <row r="24" customFormat="false" ht="15" hidden="false" customHeight="false" outlineLevel="0" collapsed="false">
      <c r="B24" s="20" t="s">
        <v>115</v>
      </c>
      <c r="C24" s="41" t="n">
        <f aca="false">C22-C23</f>
        <v>314160709.632</v>
      </c>
      <c r="D24" s="41" t="n">
        <f aca="false">D22-D23</f>
        <v>379257815.04</v>
      </c>
      <c r="E24" s="41" t="n">
        <f aca="false">E22-E23</f>
        <v>357783060.48</v>
      </c>
      <c r="F24" s="41" t="n">
        <f aca="false">F22-F23</f>
        <v>337382043.648</v>
      </c>
      <c r="G24" s="41" t="n">
        <f aca="false">G22-G23</f>
        <v>318001077.6576</v>
      </c>
    </row>
    <row r="25" customFormat="false" ht="15" hidden="false" customHeight="false" outlineLevel="0" collapsed="false">
      <c r="B25" s="8" t="s">
        <v>116</v>
      </c>
      <c r="C25" s="33" t="n">
        <f aca="false">C22*Assumptions!$C$34</f>
        <v>28934406.144</v>
      </c>
      <c r="D25" s="33" t="n">
        <f aca="false">D22*Assumptions!$C$34</f>
        <v>34359607.296</v>
      </c>
      <c r="E25" s="33" t="n">
        <f aca="false">E22*Assumptions!$C$34</f>
        <v>32641626.9312</v>
      </c>
      <c r="F25" s="33" t="n">
        <f aca="false">F22*Assumptions!$C$34</f>
        <v>31009545.58464</v>
      </c>
      <c r="G25" s="33" t="n">
        <f aca="false">G22*Assumptions!$C$34</f>
        <v>29459068.305408</v>
      </c>
    </row>
    <row r="26" customFormat="false" ht="15" hidden="false" customHeight="false" outlineLevel="0" collapsed="false">
      <c r="B26" s="20" t="s">
        <v>117</v>
      </c>
      <c r="C26" s="41" t="n">
        <f aca="false">C24-C25</f>
        <v>285226303.488</v>
      </c>
      <c r="D26" s="41" t="n">
        <f aca="false">D24-D25</f>
        <v>344898207.744</v>
      </c>
      <c r="E26" s="41" t="n">
        <f aca="false">E24-E25</f>
        <v>325141433.5488</v>
      </c>
      <c r="F26" s="41" t="n">
        <f aca="false">F24-F25</f>
        <v>306372498.06336</v>
      </c>
      <c r="G26" s="41" t="n">
        <f aca="false">G24-G25</f>
        <v>288542009.352192</v>
      </c>
    </row>
    <row r="27" customFormat="false" ht="15" hidden="false" customHeight="false" outlineLevel="0" collapsed="false">
      <c r="B27" s="42" t="s">
        <v>149</v>
      </c>
      <c r="C27" s="43" t="n">
        <f aca="false">Income_Statement!C11</f>
        <v>48660480</v>
      </c>
      <c r="D27" s="43" t="n">
        <f aca="false">Income_Statement!D11</f>
        <v>48660480</v>
      </c>
      <c r="E27" s="43" t="n">
        <f aca="false">Income_Statement!E11</f>
        <v>48660480</v>
      </c>
      <c r="F27" s="43" t="n">
        <f aca="false">Income_Statement!F11</f>
        <v>48660480</v>
      </c>
      <c r="G27" s="43" t="n">
        <f aca="false">Income_Statement!G11</f>
        <v>48660480</v>
      </c>
    </row>
    <row r="28" customFormat="false" ht="15" hidden="false" customHeight="false" outlineLevel="0" collapsed="false">
      <c r="B28" s="20" t="s">
        <v>119</v>
      </c>
      <c r="C28" s="41" t="n">
        <f aca="false">C26-C27</f>
        <v>236565823.488</v>
      </c>
      <c r="D28" s="41" t="n">
        <f aca="false">D26-D27</f>
        <v>296237727.744</v>
      </c>
      <c r="E28" s="41" t="n">
        <f aca="false">E26-E27</f>
        <v>276480953.5488</v>
      </c>
      <c r="F28" s="41" t="n">
        <f aca="false">F26-F27</f>
        <v>257712018.06336</v>
      </c>
      <c r="G28" s="41" t="n">
        <f aca="false">G26-G27</f>
        <v>239881529.352192</v>
      </c>
    </row>
    <row r="29" customFormat="false" ht="15" hidden="false" customHeight="false" outlineLevel="0" collapsed="false">
      <c r="B29" s="42" t="s">
        <v>150</v>
      </c>
      <c r="C29" s="43" t="n">
        <f aca="false">Income_Statement!C13</f>
        <v>10813440</v>
      </c>
      <c r="D29" s="43" t="n">
        <f aca="false">Income_Statement!D13</f>
        <v>8650752</v>
      </c>
      <c r="E29" s="43" t="n">
        <f aca="false">Income_Statement!E13</f>
        <v>6488064</v>
      </c>
      <c r="F29" s="43" t="n">
        <f aca="false">Income_Statement!F13</f>
        <v>4325376</v>
      </c>
      <c r="G29" s="43" t="n">
        <f aca="false">Income_Statement!G13</f>
        <v>2162688</v>
      </c>
    </row>
    <row r="30" customFormat="false" ht="15" hidden="false" customHeight="false" outlineLevel="0" collapsed="false">
      <c r="B30" s="8" t="s">
        <v>121</v>
      </c>
      <c r="C30" s="17" t="n">
        <f aca="false">C28-C29</f>
        <v>225752383.488</v>
      </c>
      <c r="D30" s="17" t="n">
        <f aca="false">D28-D29</f>
        <v>287586975.744</v>
      </c>
      <c r="E30" s="17" t="n">
        <f aca="false">E28-E29</f>
        <v>269992889.5488</v>
      </c>
      <c r="F30" s="17" t="n">
        <f aca="false">F28-F29</f>
        <v>253386642.06336</v>
      </c>
      <c r="G30" s="17" t="n">
        <f aca="false">G28-G29</f>
        <v>237718841.352192</v>
      </c>
    </row>
    <row r="31" customFormat="false" ht="15" hidden="false" customHeight="false" outlineLevel="0" collapsed="false">
      <c r="B31" s="8" t="s">
        <v>122</v>
      </c>
      <c r="C31" s="33" t="n">
        <f aca="false">MAX(0,C30)*Assumptions!$C$35</f>
        <v>47408000.53248</v>
      </c>
      <c r="D31" s="33" t="n">
        <f aca="false">MAX(0,D30)*Assumptions!$C$35</f>
        <v>60393264.90624</v>
      </c>
      <c r="E31" s="33" t="n">
        <f aca="false">MAX(0,E30)*Assumptions!$C$35</f>
        <v>56698506.805248</v>
      </c>
      <c r="F31" s="33" t="n">
        <f aca="false">MAX(0,F30)*Assumptions!$C$35</f>
        <v>53211194.8333056</v>
      </c>
      <c r="G31" s="33" t="n">
        <f aca="false">MAX(0,G30)*Assumptions!$C$35</f>
        <v>49920956.6839603</v>
      </c>
    </row>
    <row r="32" customFormat="false" ht="15" hidden="false" customHeight="false" outlineLevel="0" collapsed="false">
      <c r="B32" s="20" t="s">
        <v>123</v>
      </c>
      <c r="C32" s="41" t="n">
        <f aca="false">C30-C31</f>
        <v>178344382.95552</v>
      </c>
      <c r="D32" s="41" t="n">
        <f aca="false">D30-D31</f>
        <v>227193710.83776</v>
      </c>
      <c r="E32" s="41" t="n">
        <f aca="false">E30-E31</f>
        <v>213294382.743552</v>
      </c>
      <c r="F32" s="41" t="n">
        <f aca="false">F30-F31</f>
        <v>200175447.230054</v>
      </c>
      <c r="G32" s="41" t="n">
        <f aca="false">G30-G31</f>
        <v>187797884.668232</v>
      </c>
    </row>
    <row r="33" customFormat="false" ht="15" hidden="false" customHeight="false" outlineLevel="0" collapsed="false">
      <c r="B33" s="42" t="s">
        <v>124</v>
      </c>
      <c r="C33" s="43" t="n">
        <f aca="false">IF(TRUE(),MAX(Assumptions!$C$72,Assumptions!$C$75*720*Assumptions!$C$70+Assumptions!$C$75*720*C20*Assumptions!$C$71)*12,0)</f>
        <v>13702791.168</v>
      </c>
      <c r="D33" s="43" t="n">
        <f aca="false">IF(TRUE(),MAX(Assumptions!$C$72,Assumptions!$C$75*720*Assumptions!$C$70+Assumptions!$C$75*720*D20*Assumptions!$C$71)*12,0)</f>
        <v>16420700.16</v>
      </c>
      <c r="E33" s="43" t="n">
        <f aca="false">IF(TRUE(),MAX(Assumptions!$C$72,Assumptions!$C$75*720*Assumptions!$C$70+Assumptions!$C$75*720*E20*Assumptions!$C$71)*12,0)</f>
        <v>16420700.16</v>
      </c>
      <c r="F33" s="43" t="n">
        <f aca="false">IF(TRUE(),MAX(Assumptions!$C$72,Assumptions!$C$75*720*Assumptions!$C$70+Assumptions!$C$75*720*F20*Assumptions!$C$71)*12,0)</f>
        <v>16420700.16</v>
      </c>
      <c r="G33" s="43" t="n">
        <f aca="false">IF(TRUE(),MAX(Assumptions!$C$72,Assumptions!$C$75*720*Assumptions!$C$70+Assumptions!$C$75*720*G20*Assumptions!$C$71)*12,0)</f>
        <v>16420700.16</v>
      </c>
    </row>
    <row r="34" customFormat="false" ht="15" hidden="false" customHeight="false" outlineLevel="0" collapsed="false">
      <c r="B34" s="10"/>
      <c r="C34" s="10"/>
      <c r="D34" s="10"/>
      <c r="E34" s="10"/>
      <c r="F34" s="10"/>
      <c r="G34" s="10"/>
    </row>
    <row r="35" customFormat="false" ht="15" hidden="false" customHeight="false" outlineLevel="0" collapsed="false">
      <c r="B35" s="6" t="s">
        <v>154</v>
      </c>
      <c r="C35" s="7"/>
      <c r="D35" s="7"/>
      <c r="E35" s="7"/>
      <c r="F35" s="7"/>
      <c r="G35" s="7"/>
    </row>
    <row r="36" customFormat="false" ht="15" hidden="false" customHeight="false" outlineLevel="0" collapsed="false">
      <c r="B36" s="30" t="s">
        <v>126</v>
      </c>
      <c r="C36" s="30" t="s">
        <v>106</v>
      </c>
      <c r="D36" s="30" t="s">
        <v>107</v>
      </c>
      <c r="E36" s="30" t="s">
        <v>108</v>
      </c>
      <c r="F36" s="30" t="s">
        <v>109</v>
      </c>
      <c r="G36" s="30" t="s">
        <v>110</v>
      </c>
    </row>
    <row r="37" customFormat="false" ht="15" hidden="false" customHeight="false" outlineLevel="0" collapsed="false">
      <c r="B37" s="33" t="n">
        <f aca="false">-Assumptions!C43</f>
        <v>-270336000</v>
      </c>
      <c r="C37" s="33" t="n">
        <f aca="false">C13*(1-Assumptions!$C$35)+C12</f>
        <v>66954107.2896</v>
      </c>
      <c r="D37" s="33" t="n">
        <f aca="false">D13*(1-Assumptions!$C$35)+D12</f>
        <v>82601076.3264</v>
      </c>
      <c r="E37" s="33" t="n">
        <f aca="false">E13*(1-Assumptions!$C$35)+E12</f>
        <v>77646202.79808</v>
      </c>
      <c r="F37" s="33" t="n">
        <f aca="false">F13*(1-Assumptions!$C$35)+F12</f>
        <v>72939072.946176</v>
      </c>
      <c r="G37" s="33" t="n">
        <f aca="false">G13*(1-Assumptions!$C$35)+G12+Assumptions!$C$43*Assumptions!$C$23</f>
        <v>95500899.5868672</v>
      </c>
    </row>
    <row r="38" customFormat="false" ht="15" hidden="false" customHeight="false" outlineLevel="0" collapsed="false">
      <c r="B38" s="33" t="n">
        <f aca="false">-Assumptions!C43</f>
        <v>-270336000</v>
      </c>
      <c r="C38" s="33" t="n">
        <f aca="false">C28*(1-Assumptions!$C$35)+C27</f>
        <v>235547480.55552</v>
      </c>
      <c r="D38" s="33" t="n">
        <f aca="false">D28*(1-Assumptions!$C$35)+D27</f>
        <v>282688284.91776</v>
      </c>
      <c r="E38" s="33" t="n">
        <f aca="false">E28*(1-Assumptions!$C$35)+E27</f>
        <v>267080433.303552</v>
      </c>
      <c r="F38" s="33" t="n">
        <f aca="false">F28*(1-Assumptions!$C$35)+F27</f>
        <v>252252974.270054</v>
      </c>
      <c r="G38" s="33" t="n">
        <f aca="false">G28*(1-Assumptions!$C$35)+G27+Assumptions!$C$43*Assumptions!$C$23</f>
        <v>265200488.188232</v>
      </c>
    </row>
    <row r="39" customFormat="false" ht="15" hidden="false" customHeight="false" outlineLevel="0" collapsed="false">
      <c r="B39" s="33" t="n">
        <f aca="false">-Assumptions!C45</f>
        <v>-135168000</v>
      </c>
      <c r="C39" s="33" t="n">
        <f aca="false">C17+C12+Cash_Flow!C8</f>
        <v>31377889.6896</v>
      </c>
      <c r="D39" s="33" t="n">
        <f aca="false">D17+D12+Cash_Flow!D8</f>
        <v>48733382.2464</v>
      </c>
      <c r="E39" s="33" t="n">
        <f aca="false">E17+E12+Cash_Flow!E8</f>
        <v>45487032.23808</v>
      </c>
      <c r="F39" s="33" t="n">
        <f aca="false">F17+F12+Cash_Flow!F8</f>
        <v>42488425.906176</v>
      </c>
      <c r="G39" s="33" t="n">
        <f aca="false">G17+G12+Cash_Flow!G8+Assumptions!$C$43*Assumptions!$C$23-Balance_Sheet!G11</f>
        <v>66758776.0668672</v>
      </c>
    </row>
    <row r="40" customFormat="false" ht="15" hidden="false" customHeight="false" outlineLevel="0" collapsed="false">
      <c r="B40" s="33" t="n">
        <f aca="false">-Assumptions!C45</f>
        <v>-135168000</v>
      </c>
      <c r="C40" s="33" t="n">
        <f aca="false">C32+C27+Cash_Flow!C8</f>
        <v>199971262.95552</v>
      </c>
      <c r="D40" s="33" t="n">
        <f aca="false">D32+D27+Cash_Flow!D8</f>
        <v>248820590.83776</v>
      </c>
      <c r="E40" s="33" t="n">
        <f aca="false">E32+E27+Cash_Flow!E8</f>
        <v>234921262.743552</v>
      </c>
      <c r="F40" s="33" t="n">
        <f aca="false">F32+F27+Cash_Flow!F8</f>
        <v>221802327.230054</v>
      </c>
      <c r="G40" s="33" t="n">
        <f aca="false">G32+G27+Cash_Flow!G8+Assumptions!$C$43*Assumptions!$C$23-Balance_Sheet!G11</f>
        <v>236458364.668232</v>
      </c>
    </row>
    <row r="41" customFormat="false" ht="15" hidden="false" customHeight="false" outlineLevel="0" collapsed="false">
      <c r="B41" s="33" t="n">
        <f aca="false">SUM($B$37:B37)</f>
        <v>-270336000</v>
      </c>
      <c r="C41" s="33" t="n">
        <f aca="false">SUM($B$37:C37)</f>
        <v>-203381892.7104</v>
      </c>
      <c r="D41" s="33" t="n">
        <f aca="false">SUM($B$37:D37)</f>
        <v>-120780816.384</v>
      </c>
      <c r="E41" s="33" t="n">
        <f aca="false">SUM($B$37:E37)</f>
        <v>-43134613.58592</v>
      </c>
      <c r="F41" s="33" t="n">
        <f aca="false">SUM($B$37:F37)</f>
        <v>29804459.360256</v>
      </c>
      <c r="G41" s="33" t="n">
        <f aca="false">SUM($B$37:G37)</f>
        <v>125305358.947123</v>
      </c>
    </row>
    <row r="42" customFormat="false" ht="15" hidden="false" customHeight="false" outlineLevel="0" collapsed="false">
      <c r="B42" s="33" t="n">
        <f aca="false">SUM($B$38:B38)</f>
        <v>-270336000</v>
      </c>
      <c r="C42" s="33" t="n">
        <f aca="false">SUM($B$38:C38)</f>
        <v>-34788519.4444799</v>
      </c>
      <c r="D42" s="33" t="n">
        <f aca="false">SUM($B$38:D38)</f>
        <v>247899765.47328</v>
      </c>
      <c r="E42" s="33" t="n">
        <f aca="false">SUM($B$38:E38)</f>
        <v>514980198.776832</v>
      </c>
      <c r="F42" s="33" t="n">
        <f aca="false">SUM($B$38:F38)</f>
        <v>767233173.046886</v>
      </c>
      <c r="G42" s="33" t="n">
        <f aca="false">SUM($B$38:G38)</f>
        <v>1032433661.23512</v>
      </c>
    </row>
    <row r="43" customFormat="false" ht="15" hidden="false" customHeight="false" outlineLevel="0" collapsed="false">
      <c r="B43" s="10"/>
      <c r="C43" s="10"/>
      <c r="D43" s="10"/>
      <c r="E43" s="10"/>
      <c r="F43" s="10"/>
      <c r="G43" s="10"/>
    </row>
    <row r="44" customFormat="false" ht="15" hidden="false" customHeight="false" outlineLevel="0" collapsed="false">
      <c r="B44" s="6" t="s">
        <v>155</v>
      </c>
      <c r="C44" s="7"/>
      <c r="D44" s="7"/>
      <c r="E44" s="7"/>
      <c r="F44" s="7"/>
      <c r="G44" s="7"/>
    </row>
    <row r="45" customFormat="false" ht="15" hidden="false" customHeight="false" outlineLevel="0" collapsed="false">
      <c r="B45" s="20" t="s">
        <v>156</v>
      </c>
      <c r="C45" s="37" t="n">
        <f aca="false">IFERROR(IRR(B37:G37),"n/a")</f>
        <v>0.13578138767241</v>
      </c>
      <c r="D45" s="10"/>
      <c r="E45" s="10"/>
      <c r="F45" s="10"/>
      <c r="G45" s="10"/>
    </row>
    <row r="46" customFormat="false" ht="15" hidden="false" customHeight="false" outlineLevel="0" collapsed="false">
      <c r="B46" s="20" t="s">
        <v>157</v>
      </c>
      <c r="C46" s="37" t="n">
        <f aca="false">IFERROR(IRR(B38:G38),"n/a")</f>
        <v>0.903422592741084</v>
      </c>
      <c r="D46" s="10"/>
      <c r="E46" s="10"/>
      <c r="F46" s="10"/>
      <c r="G46" s="10"/>
    </row>
    <row r="47" customFormat="false" ht="15" hidden="false" customHeight="false" outlineLevel="0" collapsed="false">
      <c r="B47" s="20" t="s">
        <v>158</v>
      </c>
      <c r="C47" s="37" t="n">
        <f aca="false">IFERROR(IRR(B39:G39,-0.5),"n/a")</f>
        <v>0.195307405687162</v>
      </c>
      <c r="D47" s="10"/>
      <c r="E47" s="10"/>
      <c r="F47" s="10"/>
      <c r="G47" s="10"/>
    </row>
    <row r="48" customFormat="false" ht="15" hidden="false" customHeight="false" outlineLevel="0" collapsed="false">
      <c r="B48" s="20" t="s">
        <v>159</v>
      </c>
      <c r="C48" s="37" t="n">
        <f aca="false">IFERROR(IRR(B40:G40),"n/a")</f>
        <v>1.58549316586025</v>
      </c>
      <c r="D48" s="10"/>
      <c r="E48" s="10"/>
      <c r="F48" s="10"/>
      <c r="G48" s="10"/>
    </row>
    <row r="49" customFormat="false" ht="15" hidden="false" customHeight="false" outlineLevel="0" collapsed="false">
      <c r="B49" s="20" t="s">
        <v>160</v>
      </c>
      <c r="C49" s="35" t="n">
        <f aca="false">B37+NPV(Assumptions!C39,C37:G37)</f>
        <v>11104433.3833185</v>
      </c>
      <c r="D49" s="10"/>
      <c r="E49" s="10"/>
      <c r="F49" s="10"/>
      <c r="G49" s="10"/>
    </row>
    <row r="50" customFormat="false" ht="15" hidden="false" customHeight="false" outlineLevel="0" collapsed="false">
      <c r="B50" s="20" t="s">
        <v>161</v>
      </c>
      <c r="C50" s="35" t="n">
        <f aca="false">B38+NPV(Assumptions!C39,C38:G38)</f>
        <v>666227402.118446</v>
      </c>
      <c r="D50" s="10"/>
      <c r="E50" s="10"/>
      <c r="F50" s="10"/>
      <c r="G50" s="10"/>
    </row>
    <row r="51" customFormat="false" ht="15" hidden="false" customHeight="false" outlineLevel="0" collapsed="false">
      <c r="B51" s="20" t="s">
        <v>162</v>
      </c>
      <c r="C51" s="35" t="n">
        <f aca="false">B39+NPV(Assumptions!C40,C39:G39)</f>
        <v>5203734.09419185</v>
      </c>
      <c r="D51" s="10"/>
      <c r="E51" s="10"/>
      <c r="F51" s="10"/>
      <c r="G51" s="10"/>
    </row>
    <row r="52" customFormat="false" ht="15" hidden="false" customHeight="false" outlineLevel="0" collapsed="false">
      <c r="B52" s="20" t="s">
        <v>163</v>
      </c>
      <c r="C52" s="35" t="n">
        <f aca="false">B40+NPV(Assumptions!C40,C40:G40)</f>
        <v>573739882.613823</v>
      </c>
      <c r="D52" s="10"/>
      <c r="E52" s="10"/>
      <c r="F52" s="10"/>
      <c r="G52" s="10"/>
    </row>
    <row r="53" customFormat="false" ht="15" hidden="false" customHeight="false" outlineLevel="0" collapsed="false">
      <c r="B53" s="20" t="s">
        <v>164</v>
      </c>
      <c r="C53" s="45" t="n">
        <f aca="false">IFERROR(MATCH(1,INDEX((C41:G41&gt;=0)*1,0),0),"Beyond horizon")</f>
        <v>4</v>
      </c>
      <c r="D53" s="10"/>
      <c r="E53" s="10"/>
      <c r="F53" s="10"/>
      <c r="G53" s="10"/>
    </row>
    <row r="54" customFormat="false" ht="15" hidden="false" customHeight="false" outlineLevel="0" collapsed="false">
      <c r="B54" s="20" t="s">
        <v>165</v>
      </c>
      <c r="C54" s="45" t="n">
        <f aca="false">IFERROR(MATCH(1,INDEX((C42:G42&gt;=0)*1,0),0),"Beyond horizon")</f>
        <v>2</v>
      </c>
      <c r="D54" s="10"/>
      <c r="E54" s="10"/>
      <c r="F54" s="10"/>
      <c r="G54" s="10"/>
    </row>
    <row r="55" customFormat="false" ht="15" hidden="false" customHeight="false" outlineLevel="0" collapsed="false">
      <c r="B55" s="10"/>
      <c r="C55" s="10"/>
      <c r="D55" s="10"/>
      <c r="E55" s="10"/>
      <c r="F55" s="10"/>
      <c r="G55" s="10"/>
    </row>
    <row r="56" customFormat="false" ht="15" hidden="false" customHeight="false" outlineLevel="0" collapsed="false">
      <c r="B56" s="20" t="s">
        <v>166</v>
      </c>
      <c r="C56" s="35" t="n">
        <f aca="false">SUM(C7:G7)</f>
        <v>620651802.624</v>
      </c>
      <c r="D56" s="10"/>
      <c r="E56" s="10"/>
      <c r="F56" s="10"/>
      <c r="G56" s="10"/>
    </row>
    <row r="57" customFormat="false" ht="15" hidden="false" customHeight="false" outlineLevel="0" collapsed="false">
      <c r="B57" s="20" t="s">
        <v>167</v>
      </c>
      <c r="C57" s="35" t="n">
        <f aca="false">SUM(C22:G22)</f>
        <v>1955053178.2656</v>
      </c>
      <c r="D57" s="10"/>
      <c r="E57" s="10"/>
      <c r="F57" s="10"/>
      <c r="G57" s="10"/>
    </row>
    <row r="58" customFormat="false" ht="15" hidden="false" customHeight="false" outlineLevel="0" collapsed="false">
      <c r="B58" s="20" t="s">
        <v>168</v>
      </c>
      <c r="C58" s="35" t="n">
        <f aca="false">SUM(C11:G11)</f>
        <v>401916778.41408</v>
      </c>
      <c r="D58" s="10"/>
      <c r="E58" s="10"/>
      <c r="F58" s="10"/>
      <c r="G58" s="10"/>
    </row>
    <row r="59" customFormat="false" ht="15" hidden="false" customHeight="false" outlineLevel="0" collapsed="false">
      <c r="B59" s="20" t="s">
        <v>169</v>
      </c>
      <c r="C59" s="35" t="n">
        <f aca="false">SUM(C26:G26)</f>
        <v>1550180452.19635</v>
      </c>
      <c r="D59" s="10"/>
      <c r="E59" s="10"/>
      <c r="F59" s="10"/>
      <c r="G59" s="10"/>
    </row>
    <row r="60" customFormat="false" ht="15" hidden="false" customHeight="false" outlineLevel="0" collapsed="false">
      <c r="B60" s="20" t="s">
        <v>170</v>
      </c>
      <c r="C60" s="35" t="n">
        <f aca="false">SUM(C33:G33)</f>
        <v>79385591.808</v>
      </c>
      <c r="D60" s="10"/>
      <c r="E60" s="10"/>
      <c r="F60" s="10"/>
      <c r="G60" s="10"/>
    </row>
    <row r="61" customFormat="false" ht="15" hidden="false" customHeight="false" outlineLevel="0" collapsed="false">
      <c r="B61" s="10"/>
      <c r="C61" s="10"/>
      <c r="D61" s="10"/>
      <c r="E61" s="10"/>
      <c r="F61" s="10"/>
      <c r="G61" s="10"/>
    </row>
    <row r="62" customFormat="false" ht="15" hidden="false" customHeight="false" outlineLevel="0" collapsed="false">
      <c r="B62" s="20" t="s">
        <v>171</v>
      </c>
      <c r="C62" s="35" t="n">
        <f aca="false">C50-C49</f>
        <v>655122968.735128</v>
      </c>
      <c r="D62" s="10"/>
      <c r="E62" s="10"/>
      <c r="F62" s="10"/>
      <c r="G62" s="10"/>
    </row>
    <row r="63" customFormat="false" ht="15" hidden="false" customHeight="false" outlineLevel="0" collapsed="false">
      <c r="B63" s="20" t="s">
        <v>172</v>
      </c>
      <c r="C63" s="46" t="n">
        <f aca="false">IFERROR(C62/C60,"n/a")</f>
        <v>8.25241651305682</v>
      </c>
      <c r="D63" s="10"/>
      <c r="E63" s="10"/>
      <c r="F63" s="10"/>
      <c r="G63" s="10"/>
    </row>
    <row r="64" customFormat="false" ht="15" hidden="false" customHeight="false" outlineLevel="0" collapsed="false">
      <c r="B64" s="10"/>
      <c r="C64" s="10"/>
      <c r="D64" s="10"/>
      <c r="E64" s="10"/>
      <c r="F64" s="10"/>
      <c r="G6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2026-07-19T04:42:18Z</dcterms:created>
  <dc:creator>openpyxl</dc:creator>
  <dc:description/>
  <dc:language>en-US</dc:language>
  <cp:lastModifiedBy/>
  <dcterms:modified xsi:type="dcterms:W3CDTF">2026-07-19T04:42:18Z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